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F69BEDCA-9BA5-4626-8EF3-D2DE3889C8C9}" xr6:coauthVersionLast="47" xr6:coauthVersionMax="47" xr10:uidLastSave="{00000000-0000-0000-0000-000000000000}"/>
  <bookViews>
    <workbookView xWindow="-108" yWindow="-108" windowWidth="23256" windowHeight="13896" activeTab="1" xr2:uid="{F8420BDF-C08E-4FBB-891B-F574F63AC6D0}"/>
  </bookViews>
  <sheets>
    <sheet name="sheets design" sheetId="2" r:id="rId1"/>
    <sheet name="Dashboard" sheetId="3" r:id="rId2"/>
    <sheet name="BlinkIT Grocery Data" sheetId="1" r:id="rId3"/>
  </sheets>
  <definedNames>
    <definedName name="_xlchart.v2.0" hidden="1">'sheets design'!$D$109:$D$111</definedName>
    <definedName name="_xlchart.v2.1" hidden="1">'sheets design'!$E$108</definedName>
    <definedName name="_xlchart.v2.2" hidden="1">'sheets design'!$E$109:$E$111</definedName>
    <definedName name="_xlchart.v2.3" hidden="1">'sheets design'!$D$109:$D$111</definedName>
    <definedName name="_xlchart.v2.4" hidden="1">'sheets design'!$E$108</definedName>
    <definedName name="_xlchart.v2.5" hidden="1">'sheets design'!$E$109:$E$111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0" i="2" l="1"/>
  <c r="D111" i="2"/>
  <c r="D109" i="2"/>
  <c r="D9" i="2"/>
  <c r="B9" i="2"/>
  <c r="A9" i="2"/>
  <c r="C9" i="2"/>
  <c r="E110" i="2"/>
  <c r="E111" i="2"/>
  <c r="E109" i="2"/>
</calcChain>
</file>

<file path=xl/sharedStrings.xml><?xml version="1.0" encoding="utf-8"?>
<sst xmlns="http://schemas.openxmlformats.org/spreadsheetml/2006/main" count="59748" uniqueCount="1633">
  <si>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</si>
  <si>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</si>
  <si>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</si>
  <si>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</si>
  <si>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</si>
  <si>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</si>
  <si>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</si>
  <si>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</si>
  <si>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</si>
  <si>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</si>
  <si>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</si>
  <si>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</si>
  <si>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</si>
  <si>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</si>
  <si>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</si>
  <si>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</si>
  <si>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</si>
  <si>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</si>
  <si>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</si>
  <si>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</si>
  <si>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</si>
  <si>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</si>
  <si>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</si>
  <si>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</si>
  <si>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</si>
  <si>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</si>
  <si>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</si>
  <si>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</si>
  <si>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</si>
  <si>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</si>
  <si>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</si>
  <si>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</si>
  <si>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</si>
  <si>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</si>
  <si>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</si>
  <si>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</si>
  <si>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</si>
  <si>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</si>
  <si>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</si>
  <si>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</si>
  <si>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</si>
  <si>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</si>
  <si>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</si>
  <si>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</si>
  <si>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</si>
  <si>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</si>
  <si>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</si>
  <si>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</si>
  <si>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</si>
  <si>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</si>
  <si>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</si>
  <si>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</si>
  <si>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</si>
  <si>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</si>
  <si>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</si>
  <si>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</si>
  <si>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</si>
  <si>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</si>
  <si>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</si>
  <si>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</si>
  <si>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</si>
  <si>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</si>
  <si>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</si>
  <si>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</si>
  <si>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</si>
  <si>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</si>
  <si>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</si>
  <si>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</si>
  <si>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</si>
  <si>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</si>
  <si>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</si>
  <si>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</si>
  <si>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</si>
  <si>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</si>
  <si>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</si>
  <si>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</si>
  <si>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</si>
  <si>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</si>
  <si>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</si>
  <si>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</si>
  <si>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</si>
  <si>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</si>
  <si>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</si>
  <si>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</si>
  <si>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</si>
  <si>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</si>
  <si>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</si>
  <si>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</si>
  <si>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</si>
  <si>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</si>
  <si>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</si>
  <si>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</si>
  <si>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</si>
  <si>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</si>
  <si>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</si>
  <si>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</si>
  <si>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</si>
  <si>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</si>
  <si>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</si>
  <si>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</si>
  <si>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</si>
  <si>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</si>
  <si>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</si>
  <si>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</si>
  <si>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</si>
  <si>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</si>
  <si>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</si>
  <si>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</si>
  <si>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</si>
  <si>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</si>
  <si>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</si>
  <si>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</si>
  <si>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</si>
  <si>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</si>
  <si>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</si>
  <si>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</si>
  <si>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</si>
  <si>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</si>
  <si>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</si>
  <si>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</si>
  <si>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</si>
  <si>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</si>
  <si>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</si>
  <si>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</si>
  <si>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</si>
  <si>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</si>
  <si>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</si>
  <si>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</si>
  <si>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</si>
  <si>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</si>
  <si>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</si>
  <si>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</si>
  <si>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</si>
  <si>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</si>
  <si>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</si>
  <si>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</si>
  <si>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</si>
  <si>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</si>
  <si>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</si>
  <si>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</si>
  <si>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</si>
  <si>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</si>
  <si>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</si>
  <si>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</si>
  <si>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</si>
  <si>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</si>
  <si>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</si>
  <si>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</si>
  <si>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</si>
  <si>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</si>
  <si>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</si>
  <si>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</si>
  <si>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</si>
  <si>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</si>
  <si>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</si>
  <si>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</si>
  <si>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</si>
  <si>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</si>
  <si>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</si>
  <si>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</si>
  <si>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</si>
  <si>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</si>
  <si>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</si>
  <si>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</si>
  <si>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</si>
  <si>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</si>
  <si>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</si>
  <si>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</si>
  <si>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</si>
  <si>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</si>
  <si>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</si>
  <si>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</si>
  <si>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</si>
  <si>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</si>
  <si>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</si>
  <si>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</si>
  <si>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</si>
  <si>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</si>
  <si>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</si>
  <si>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</si>
  <si>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</si>
  <si>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</si>
  <si>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</si>
  <si>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</si>
  <si>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</si>
  <si>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</si>
  <si>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</si>
  <si>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</si>
  <si>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</si>
  <si>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</si>
  <si>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</si>
  <si>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</si>
  <si>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</si>
  <si>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</si>
  <si>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</si>
  <si>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</si>
  <si>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</si>
  <si>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</si>
  <si>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</si>
  <si>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</si>
  <si>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</si>
  <si>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</si>
  <si>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</si>
  <si>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</si>
  <si>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</si>
  <si>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</si>
  <si>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</si>
  <si>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</si>
  <si>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</si>
  <si>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</si>
  <si>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</si>
  <si>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</si>
  <si>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</si>
  <si>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</si>
  <si>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</si>
  <si>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</si>
  <si>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</si>
  <si>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</si>
  <si>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</si>
  <si>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</si>
  <si>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</si>
  <si>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</si>
  <si>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</si>
  <si>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</si>
  <si>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</si>
  <si>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</si>
  <si>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</si>
  <si>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</si>
  <si>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</si>
  <si>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</si>
  <si>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</si>
  <si>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</si>
  <si>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</si>
  <si>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</si>
  <si>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</si>
  <si>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</si>
  <si>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</si>
  <si>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</si>
  <si>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</si>
  <si>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</si>
  <si>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</si>
  <si>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</si>
  <si>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</si>
  <si>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</si>
  <si>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</si>
  <si>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</si>
  <si>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</si>
  <si>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</si>
  <si>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</si>
  <si>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</si>
  <si>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</si>
  <si>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</si>
  <si>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</si>
  <si>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</si>
  <si>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</si>
  <si>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</si>
  <si>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</si>
  <si>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</si>
  <si>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</si>
  <si>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</si>
  <si>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</si>
  <si>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</si>
  <si>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</si>
  <si>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</si>
  <si>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</si>
  <si>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</si>
  <si>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</si>
  <si>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</si>
  <si>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</si>
  <si>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</si>
  <si>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</si>
  <si>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</si>
  <si>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</si>
  <si>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</si>
  <si>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</si>
  <si>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</si>
  <si>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</si>
  <si>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</si>
  <si>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</si>
  <si>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</si>
  <si>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</si>
  <si>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</si>
  <si>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</si>
  <si>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</si>
  <si>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</si>
  <si>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</si>
  <si>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</si>
  <si>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</si>
  <si>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</si>
  <si>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</si>
  <si>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</si>
  <si>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</si>
  <si>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</si>
  <si>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</si>
  <si>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</si>
  <si>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</si>
  <si>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</si>
  <si>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</si>
  <si>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</si>
  <si>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</si>
  <si>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</si>
  <si>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</si>
  <si>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</si>
  <si>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</si>
  <si>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</si>
  <si>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</si>
  <si>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</si>
  <si>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</si>
  <si>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</si>
  <si>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</si>
  <si>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</si>
  <si>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</si>
  <si>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</si>
  <si>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</si>
  <si>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</si>
  <si>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</si>
  <si>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</si>
  <si>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</si>
  <si>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</si>
  <si>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</si>
  <si>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</si>
  <si>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</si>
  <si>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</si>
  <si>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</si>
  <si>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</si>
  <si>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</si>
  <si>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</si>
  <si>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</si>
  <si>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</si>
  <si>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</si>
  <si>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</si>
  <si>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</si>
  <si>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</si>
  <si>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</si>
  <si>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</si>
  <si>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</si>
  <si>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</si>
  <si>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</si>
  <si>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</si>
  <si>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</si>
  <si>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</si>
  <si>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</si>
  <si>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</si>
  <si>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</si>
  <si>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</si>
  <si>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</si>
  <si>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</si>
  <si>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</si>
  <si>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</si>
  <si>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</si>
  <si>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</si>
  <si>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</si>
  <si>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</si>
  <si>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</si>
  <si>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</si>
  <si>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</si>
  <si>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</si>
  <si>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</si>
  <si>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</si>
  <si>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</si>
  <si>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</si>
  <si>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</si>
  <si>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</si>
  <si>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</si>
  <si>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</si>
  <si>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</si>
  <si>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</si>
  <si>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</si>
  <si>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</si>
  <si>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</si>
  <si>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</si>
  <si>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</si>
  <si>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</si>
  <si>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</si>
  <si>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</si>
  <si>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</si>
  <si>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</si>
  <si>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</si>
  <si>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</si>
  <si>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</si>
  <si>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</si>
  <si>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</si>
  <si>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</si>
  <si>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</si>
  <si>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</si>
  <si>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</si>
  <si>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</si>
  <si>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</si>
  <si>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</si>
  <si>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</si>
  <si>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</si>
  <si>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</si>
  <si>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</si>
  <si>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</si>
  <si>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</si>
  <si>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</si>
  <si>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</si>
  <si>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</si>
  <si>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</si>
  <si>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</si>
  <si>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</si>
  <si>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</si>
  <si>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</si>
  <si>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</si>
  <si>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</si>
  <si>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</si>
  <si>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</si>
  <si>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</si>
  <si>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</si>
  <si>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</si>
  <si>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</si>
  <si>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</si>
  <si>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</si>
  <si>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</si>
  <si>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</si>
  <si>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</si>
  <si>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</si>
  <si>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</si>
  <si>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</si>
  <si>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</si>
  <si>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</si>
  <si>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</si>
  <si>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</si>
  <si>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</si>
  <si>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</si>
  <si>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</si>
  <si>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</si>
  <si>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</si>
  <si>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</si>
  <si>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</si>
  <si>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</si>
  <si>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</si>
  <si>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</si>
  <si>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</si>
  <si>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</si>
  <si>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</si>
  <si>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</si>
  <si>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</si>
  <si>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</si>
  <si>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</si>
  <si>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</si>
  <si>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</si>
  <si>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</si>
  <si>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</si>
  <si>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</si>
  <si>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</si>
  <si>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</si>
  <si>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</si>
  <si>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</si>
  <si>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</si>
  <si>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</si>
  <si>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</si>
  <si>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</si>
  <si>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</si>
  <si>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</si>
  <si>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</si>
  <si>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</si>
  <si>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</si>
  <si>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</si>
  <si>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</si>
  <si>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</si>
  <si>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</si>
  <si>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</si>
  <si>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</si>
  <si>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</si>
  <si>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</si>
  <si>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</si>
  <si>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</si>
  <si>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</si>
  <si>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</si>
  <si>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</si>
  <si>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</si>
  <si>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</si>
  <si>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</si>
  <si>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</si>
  <si>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</si>
  <si>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</si>
  <si>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</si>
  <si>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</si>
  <si>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</si>
  <si>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</si>
  <si>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</si>
  <si>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</si>
  <si>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</si>
  <si>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</si>
  <si>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</si>
  <si>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</si>
  <si>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</si>
  <si>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</si>
  <si>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</si>
  <si>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</si>
  <si>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</si>
  <si>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</si>
  <si>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</si>
  <si>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</si>
  <si>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</si>
  <si>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</si>
  <si>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</si>
  <si>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</si>
  <si>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</si>
  <si>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</si>
  <si>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</si>
  <si>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</si>
  <si>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</si>
  <si>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</si>
  <si>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</si>
  <si>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</si>
  <si>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</si>
  <si>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</si>
  <si>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</si>
  <si>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</si>
  <si>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</si>
  <si>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</si>
  <si>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</si>
  <si>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</si>
  <si>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</si>
  <si>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</si>
  <si>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</si>
  <si>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</si>
  <si>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</si>
  <si>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</si>
  <si>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</si>
  <si>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</si>
  <si>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</si>
  <si>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</si>
  <si>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</si>
  <si>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</si>
  <si>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</si>
  <si>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</si>
  <si>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</si>
  <si>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</si>
  <si>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</si>
  <si>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</si>
  <si>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</si>
  <si>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</si>
  <si>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</si>
  <si>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</si>
  <si>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</si>
  <si>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</si>
  <si>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</si>
  <si>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</si>
  <si>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</si>
  <si>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</si>
  <si>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</si>
  <si>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</si>
  <si>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</si>
  <si>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</si>
  <si>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</si>
  <si>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</si>
  <si>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</si>
  <si>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</si>
  <si>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</si>
  <si>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</si>
  <si>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</si>
  <si>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</si>
  <si>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</si>
  <si>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</si>
  <si>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</si>
  <si>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</si>
  <si>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</si>
  <si>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</si>
  <si>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</si>
  <si>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</si>
  <si>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</si>
  <si>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</si>
  <si>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</si>
  <si>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</si>
  <si>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</si>
  <si>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</si>
  <si>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</si>
  <si>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</si>
  <si>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</si>
  <si>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</si>
  <si>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</si>
  <si>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</si>
  <si>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</si>
  <si>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</si>
  <si>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</si>
  <si>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</si>
  <si>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</si>
  <si>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</si>
  <si>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</si>
  <si>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</si>
  <si>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</si>
  <si>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</si>
  <si>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</si>
  <si>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</si>
  <si>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</si>
  <si>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</si>
  <si>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</si>
  <si>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</si>
  <si>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</si>
  <si>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</si>
  <si>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</si>
  <si>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</si>
  <si>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</si>
  <si>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</si>
  <si>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</si>
  <si>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</si>
  <si>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</si>
  <si>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</si>
  <si>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</si>
  <si>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</si>
  <si>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</si>
  <si>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</si>
  <si>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</si>
  <si>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</si>
  <si>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</si>
  <si>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</si>
  <si>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</si>
  <si>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</si>
  <si>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</si>
  <si>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</si>
  <si>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</si>
  <si>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</si>
  <si>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</si>
  <si>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</si>
  <si>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</si>
  <si>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</si>
  <si>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</si>
  <si>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</si>
  <si>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</si>
  <si>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</si>
  <si>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</si>
  <si>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</si>
  <si>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</si>
  <si>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</si>
  <si>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</si>
  <si>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</si>
  <si>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</si>
  <si>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</si>
  <si>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</si>
  <si>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</si>
  <si>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</si>
  <si>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</si>
  <si>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</si>
  <si>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</si>
  <si>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</si>
  <si>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</si>
  <si>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</si>
  <si>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</si>
  <si>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</si>
  <si>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</si>
  <si>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</si>
  <si>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</si>
  <si>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</si>
  <si>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</si>
  <si>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</si>
  <si>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</si>
  <si>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</si>
  <si>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</si>
  <si>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</si>
  <si>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</si>
  <si>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</si>
  <si>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</si>
  <si>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</si>
  <si>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</si>
  <si>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</si>
  <si>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</si>
  <si>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</si>
  <si>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</si>
  <si>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</si>
  <si>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</si>
  <si>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</si>
  <si>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</si>
  <si>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</si>
  <si>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</si>
  <si>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</si>
  <si>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</si>
  <si>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</si>
  <si>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</si>
  <si>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</si>
  <si>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</si>
  <si>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</si>
  <si>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</si>
  <si>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</si>
  <si>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</si>
  <si>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</si>
  <si>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</si>
  <si>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</si>
  <si>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</si>
  <si>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</si>
  <si>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</si>
  <si>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</si>
  <si>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</si>
  <si>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</si>
  <si>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</si>
  <si>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</si>
  <si>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</si>
  <si>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</si>
  <si>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</si>
  <si>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</si>
  <si>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</si>
  <si>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</si>
  <si>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</si>
  <si>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</si>
  <si>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</si>
  <si>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</si>
  <si>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</si>
  <si>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</si>
  <si>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</si>
  <si>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</si>
  <si>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</si>
  <si>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</si>
  <si>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</si>
  <si>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</si>
  <si>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</si>
  <si>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</si>
  <si>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</si>
  <si>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</si>
  <si>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</si>
  <si>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</si>
  <si>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</si>
  <si>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</si>
  <si>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</si>
  <si>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</si>
  <si>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</si>
  <si>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</si>
  <si>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</si>
  <si>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</si>
  <si>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</si>
  <si>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</si>
  <si>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</si>
  <si>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</si>
  <si>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</si>
  <si>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</si>
  <si>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</si>
  <si>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</si>
  <si>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</si>
  <si>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</si>
  <si>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</si>
  <si>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</si>
  <si>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</si>
  <si>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</si>
  <si>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</si>
  <si>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</si>
  <si>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</si>
  <si>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</si>
  <si>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</si>
  <si>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</si>
  <si>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</si>
  <si>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</si>
  <si>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</si>
  <si>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</si>
  <si>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</si>
  <si>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</si>
  <si>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</si>
  <si>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</si>
  <si>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</si>
  <si>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</si>
  <si>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</si>
  <si>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</si>
  <si>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</si>
  <si>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</si>
  <si>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</si>
  <si>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</si>
  <si>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</si>
  <si>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</si>
  <si>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</si>
  <si>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</si>
  <si>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</si>
  <si>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</si>
  <si>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</si>
  <si>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</si>
  <si>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</si>
  <si>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</si>
  <si>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</si>
  <si>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</si>
  <si>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</si>
  <si>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</si>
  <si>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</si>
  <si>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</si>
  <si>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</si>
  <si>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</si>
  <si>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</si>
  <si>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</si>
  <si>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</si>
  <si>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</si>
  <si>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</si>
  <si>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</si>
  <si>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</si>
  <si>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</si>
  <si>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</si>
  <si>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</si>
  <si>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</si>
  <si>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</si>
  <si>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</si>
  <si>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</si>
  <si>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</si>
  <si>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</si>
  <si>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</si>
  <si>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</si>
  <si>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</si>
  <si>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</si>
  <si>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</si>
  <si>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</si>
  <si>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</si>
  <si>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</si>
  <si>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</si>
  <si>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</si>
  <si>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</si>
  <si>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</si>
  <si>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</si>
  <si>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</si>
  <si>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</si>
  <si>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</si>
  <si>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</si>
  <si>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</si>
  <si>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</si>
  <si>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</si>
  <si>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</si>
  <si>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</si>
  <si>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</si>
  <si>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</si>
  <si>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</si>
  <si>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</si>
  <si>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</si>
  <si>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</si>
  <si>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</si>
  <si>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</si>
  <si>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</si>
  <si>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</si>
  <si>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</si>
  <si>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</si>
  <si>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</si>
  <si>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</si>
  <si>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</si>
  <si>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</si>
  <si>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</si>
  <si>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</si>
  <si>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</si>
  <si>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</si>
  <si>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</si>
  <si>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</si>
  <si>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</si>
  <si>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</si>
  <si>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</si>
  <si>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</si>
  <si>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</si>
  <si>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</si>
  <si>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</si>
  <si>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</si>
  <si>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</si>
  <si>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</si>
  <si>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</si>
  <si>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</si>
  <si>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</si>
  <si>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</si>
  <si>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</si>
  <si>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</si>
  <si>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</si>
  <si>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</si>
  <si>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</si>
  <si>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</si>
  <si>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</si>
  <si>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</si>
  <si>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</si>
  <si>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</si>
  <si>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</si>
  <si>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</si>
  <si>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</si>
  <si>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</si>
  <si>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</si>
  <si>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</si>
  <si>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</si>
  <si>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</si>
  <si>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</si>
  <si>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</si>
  <si>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</si>
  <si>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</si>
  <si>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</si>
  <si>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</si>
  <si>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</si>
  <si>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</si>
  <si>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</si>
  <si>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</si>
  <si>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</si>
  <si>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</si>
  <si>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</si>
  <si>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</si>
  <si>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</si>
  <si>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</si>
  <si>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</si>
  <si>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</si>
  <si>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</si>
  <si>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</si>
  <si>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</si>
  <si>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</si>
  <si>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</si>
  <si>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</si>
  <si>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</si>
  <si>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</si>
  <si>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</si>
  <si>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</si>
  <si>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</si>
  <si>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</si>
  <si>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</si>
  <si>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</si>
  <si>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</si>
  <si>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</si>
  <si>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</si>
  <si>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</si>
  <si>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</si>
  <si>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</si>
  <si>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</si>
  <si>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</si>
  <si>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</si>
  <si>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</si>
  <si>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</si>
  <si>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</si>
  <si>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</si>
  <si>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</si>
  <si>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</si>
  <si>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</si>
  <si>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</si>
  <si>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</si>
  <si>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</si>
  <si>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</si>
  <si>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</si>
  <si>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</si>
  <si>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</si>
  <si>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</si>
  <si>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</si>
  <si>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</si>
  <si>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</si>
  <si>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</si>
  <si>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</si>
  <si>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</si>
  <si>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</si>
  <si>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</si>
  <si>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</si>
  <si>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</si>
  <si>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</si>
  <si>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</si>
  <si>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</si>
  <si>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</si>
  <si>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</si>
  <si>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</si>
  <si>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</si>
  <si>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</si>
  <si>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</si>
  <si>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</si>
  <si>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</si>
  <si>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</si>
  <si>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</si>
  <si>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</si>
  <si>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</si>
  <si>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</si>
  <si>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</si>
  <si>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</si>
  <si>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</si>
  <si>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</si>
  <si>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</si>
  <si>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</si>
  <si>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</si>
  <si>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</si>
  <si>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</si>
  <si>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</si>
  <si>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</si>
  <si>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</si>
  <si>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</si>
  <si>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</si>
  <si>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</si>
  <si>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</si>
  <si>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</si>
  <si>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</si>
  <si>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</si>
  <si>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</si>
  <si>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</si>
  <si>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</si>
  <si>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</si>
  <si>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</si>
  <si>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</si>
  <si>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</si>
  <si>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</si>
  <si>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</si>
  <si>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</si>
  <si>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</si>
  <si>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</si>
  <si>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</si>
  <si>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</si>
  <si>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</si>
  <si>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</si>
  <si>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</si>
  <si>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</si>
  <si>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</si>
  <si>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</si>
  <si>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</si>
  <si>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</si>
  <si>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</si>
  <si>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</si>
  <si>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</si>
  <si>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</si>
  <si>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</si>
  <si>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</si>
  <si>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</si>
  <si>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</si>
  <si>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</si>
  <si>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</si>
  <si>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</si>
  <si>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</si>
  <si>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</si>
  <si>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</si>
  <si>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</si>
  <si>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</si>
  <si>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</si>
  <si>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</si>
  <si>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</si>
  <si>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</si>
  <si>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</si>
  <si>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</si>
  <si>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</si>
  <si>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</si>
  <si>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</si>
  <si>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</si>
  <si>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</si>
  <si>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</si>
  <si>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</si>
  <si>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</si>
  <si>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</si>
  <si>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</si>
  <si>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</si>
  <si>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</si>
  <si>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</si>
  <si>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</si>
  <si>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</si>
  <si>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</si>
  <si>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</si>
  <si>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</si>
  <si>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</si>
  <si>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</si>
  <si>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</si>
  <si>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</si>
  <si>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</si>
  <si>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</si>
  <si>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</si>
  <si>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</si>
  <si>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</si>
  <si>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</si>
  <si>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</si>
  <si>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</si>
  <si>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</si>
  <si>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</si>
  <si>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</si>
  <si>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</si>
  <si>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</si>
  <si>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</si>
  <si>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</si>
  <si>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</si>
  <si>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</si>
  <si>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</si>
  <si>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</si>
  <si>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</si>
  <si>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</si>
  <si>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</si>
  <si>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</si>
  <si>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</si>
  <si>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</si>
  <si>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</si>
  <si>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</si>
  <si>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</si>
  <si>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</si>
  <si>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</si>
  <si>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</si>
  <si>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</si>
  <si>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</si>
  <si>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</si>
  <si>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</si>
  <si>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</si>
  <si>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</si>
  <si>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</si>
  <si>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</si>
  <si>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</si>
  <si>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</si>
  <si>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</si>
  <si>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</si>
  <si>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</si>
  <si>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</si>
  <si>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</si>
  <si>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</si>
  <si>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</si>
  <si>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</si>
  <si>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</si>
  <si>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</si>
  <si>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</si>
  <si>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</si>
  <si>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</si>
  <si>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</si>
  <si>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</si>
  <si>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</si>
  <si>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</si>
  <si>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</si>
  <si>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</si>
  <si>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</si>
  <si>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</si>
  <si>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</si>
  <si>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</si>
  <si>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</si>
  <si>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</si>
  <si>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</si>
  <si>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</si>
  <si>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</si>
  <si>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</si>
  <si>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</si>
  <si>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</si>
  <si>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</si>
  <si>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</si>
  <si>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</si>
  <si>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</si>
  <si>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</si>
  <si>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</si>
  <si>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</si>
  <si>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</si>
  <si>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</si>
  <si>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</si>
  <si>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</si>
  <si>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</si>
  <si>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</si>
  <si>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</si>
  <si>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</si>
  <si>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</si>
  <si>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</si>
  <si>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</si>
  <si>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</si>
  <si>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</si>
  <si>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</si>
  <si>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</si>
  <si>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</si>
  <si>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</si>
  <si>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</si>
  <si>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</si>
  <si>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</si>
  <si>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</si>
  <si>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</si>
  <si>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</si>
  <si>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</si>
  <si>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</si>
  <si>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</si>
  <si>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</si>
  <si>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</si>
  <si>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</si>
  <si>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</si>
  <si>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</si>
  <si>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</si>
  <si>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</si>
  <si>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</si>
  <si>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</si>
  <si>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</si>
  <si>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</si>
  <si>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</si>
  <si>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</si>
  <si>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</si>
  <si>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</si>
  <si>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</si>
  <si>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</si>
  <si>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</si>
  <si>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</si>
  <si>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</si>
  <si>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</si>
  <si>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</si>
  <si>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</si>
  <si>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</si>
  <si>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</si>
  <si>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</si>
  <si>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</si>
  <si>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</si>
  <si>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</si>
  <si>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</si>
  <si>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</si>
  <si>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</si>
  <si>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</si>
  <si>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</si>
  <si>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</si>
  <si>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</si>
  <si>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</si>
  <si>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</si>
  <si>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</si>
  <si>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</si>
  <si>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</si>
  <si>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</si>
  <si>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</si>
  <si>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</si>
  <si>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</si>
  <si>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</si>
  <si>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</si>
  <si>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</si>
  <si>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</si>
  <si>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</si>
  <si>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</si>
  <si>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</si>
  <si>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</si>
  <si>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</si>
  <si>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</si>
  <si>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</si>
  <si>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</si>
  <si>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</si>
  <si>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</si>
  <si>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</si>
  <si>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</si>
  <si>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</si>
  <si>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</si>
  <si>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</si>
  <si>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</si>
  <si>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</si>
  <si>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</si>
  <si>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</si>
  <si>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</si>
  <si>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</si>
  <si>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</si>
  <si>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</si>
  <si>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</si>
  <si>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</si>
  <si>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</si>
  <si>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</si>
  <si>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</si>
  <si>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</si>
  <si>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</si>
  <si>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</si>
  <si>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</si>
  <si>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</si>
  <si>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</si>
  <si>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</si>
  <si>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</si>
  <si>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</si>
  <si>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</si>
  <si>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</si>
  <si>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</si>
  <si>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</si>
  <si>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</si>
  <si>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</si>
  <si>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</si>
  <si>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</si>
  <si>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</si>
  <si>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</si>
  <si>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</si>
  <si>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</si>
  <si>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</si>
  <si>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</si>
  <si>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</si>
  <si>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</si>
  <si>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</si>
  <si>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</si>
  <si>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</si>
  <si>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</si>
  <si>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</si>
  <si>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</si>
  <si>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</si>
  <si>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</si>
  <si>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</si>
  <si>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</si>
  <si>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</si>
  <si>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</si>
  <si>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</si>
  <si>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</si>
  <si>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</si>
  <si>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</si>
  <si>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</si>
  <si>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</si>
  <si>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</si>
  <si>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</si>
  <si>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</si>
  <si>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</si>
  <si>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</si>
  <si>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</si>
  <si>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</si>
  <si>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</si>
  <si>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</si>
  <si>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</si>
  <si>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</si>
  <si>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</si>
  <si>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</si>
  <si>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</si>
  <si>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</si>
  <si>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</si>
  <si>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</si>
  <si>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</si>
  <si>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</si>
  <si>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</si>
  <si>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</si>
  <si>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</si>
  <si>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</si>
  <si>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</si>
  <si>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</si>
  <si>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</si>
  <si>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</si>
  <si>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</si>
  <si>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</si>
  <si>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</si>
  <si>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</si>
  <si>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</si>
  <si>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</si>
  <si>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</si>
  <si>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</si>
  <si>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</si>
  <si>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</si>
  <si>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</si>
  <si>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</si>
  <si>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</si>
  <si>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</si>
  <si>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</si>
  <si>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</si>
  <si>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</si>
  <si>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</si>
  <si>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</si>
  <si>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</si>
  <si>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</si>
  <si>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</si>
  <si>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</si>
  <si>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</si>
  <si>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</si>
  <si>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</si>
  <si>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</si>
  <si>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</si>
  <si>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</si>
  <si>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</si>
  <si>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</si>
  <si>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</si>
  <si>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</si>
  <si>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</si>
  <si>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</si>
  <si>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</si>
  <si>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</si>
  <si>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</si>
  <si>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</si>
  <si>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</si>
  <si>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</si>
  <si>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</si>
  <si>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</si>
  <si>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</si>
  <si>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</si>
  <si>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</si>
  <si>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</si>
  <si>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</si>
  <si>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</si>
  <si>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</si>
  <si>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</si>
  <si>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</si>
  <si>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</si>
  <si>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</si>
  <si>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</si>
  <si>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</si>
  <si>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</si>
  <si>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</si>
  <si>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</si>
  <si>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</si>
  <si>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</si>
  <si>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</si>
  <si>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</si>
  <si>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</si>
  <si>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</si>
  <si>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</si>
  <si>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</si>
  <si>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</si>
  <si>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</si>
  <si>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</si>
  <si>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</si>
  <si>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</si>
  <si>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</si>
  <si>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</si>
  <si>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</si>
  <si>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</si>
  <si>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</si>
  <si>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</si>
  <si>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</si>
  <si>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</si>
  <si>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</si>
  <si>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</si>
  <si>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</si>
  <si>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</si>
  <si>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</si>
  <si>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</si>
  <si>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</si>
  <si>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</si>
  <si>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</si>
  <si>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</si>
  <si>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</si>
  <si>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</si>
  <si>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</si>
  <si>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</si>
  <si>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</si>
  <si>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</si>
  <si>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</si>
  <si>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</si>
  <si>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</si>
  <si>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</si>
  <si>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</si>
  <si>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</si>
  <si>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</si>
  <si>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</si>
  <si>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</si>
  <si>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</si>
  <si>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</si>
  <si>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</si>
  <si>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</si>
  <si>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</si>
  <si>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</si>
  <si>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</si>
  <si>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</si>
  <si>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</si>
  <si>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</si>
  <si>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</si>
  <si>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</si>
  <si>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</si>
  <si>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</si>
  <si>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</si>
  <si>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</si>
  <si>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</si>
  <si>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</si>
  <si>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</si>
  <si>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</si>
  <si>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</si>
  <si>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</si>
  <si>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</si>
  <si>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</si>
  <si>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</si>
  <si>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</si>
  <si>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</si>
  <si>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</si>
  <si>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</si>
  <si>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</si>
  <si>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</si>
  <si>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</si>
  <si>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</si>
  <si>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</si>
  <si>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</si>
  <si>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</si>
  <si>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</si>
  <si>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</si>
  <si>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</si>
  <si>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</si>
  <si>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</si>
  <si>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</si>
  <si>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</si>
  <si>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</si>
  <si>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</si>
  <si>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</si>
  <si>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</si>
  <si>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</si>
  <si>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</si>
  <si>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</si>
  <si>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</si>
  <si>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</si>
  <si>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</si>
  <si>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</si>
  <si>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</si>
  <si>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</si>
  <si>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</si>
  <si>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</si>
  <si>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</si>
  <si>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</si>
  <si>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</si>
  <si>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</si>
  <si>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</si>
  <si>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</si>
  <si>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</si>
  <si>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</si>
  <si>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</si>
  <si>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</si>
  <si>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</si>
  <si>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</si>
  <si>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</si>
  <si>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</si>
  <si>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</si>
  <si>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</si>
  <si>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</si>
  <si>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</si>
  <si>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</si>
  <si>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</si>
  <si>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</si>
  <si>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</si>
  <si>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</si>
  <si>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</si>
  <si>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</si>
  <si>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</si>
  <si>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</si>
  <si>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</si>
  <si>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</si>
  <si>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</si>
  <si>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</si>
  <si>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</si>
  <si>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</si>
  <si>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</si>
  <si>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</si>
  <si>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</si>
  <si>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</si>
  <si>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</si>
  <si>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</si>
  <si>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</si>
  <si>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</si>
  <si>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</si>
  <si>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</si>
  <si>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</si>
  <si>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</si>
  <si>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</si>
  <si>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</si>
  <si>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</si>
  <si>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</si>
  <si>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</si>
  <si>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</si>
  <si>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</si>
  <si>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</si>
  <si>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</si>
  <si>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</si>
  <si>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</si>
  <si>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</si>
  <si>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</si>
  <si>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</si>
  <si>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</si>
  <si>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</si>
  <si>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</si>
  <si>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</si>
  <si>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</si>
  <si>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</si>
  <si>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</si>
  <si>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</si>
  <si>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</si>
  <si>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</si>
  <si>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</si>
  <si>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</si>
  <si>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</si>
  <si>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</si>
  <si>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</si>
  <si>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</si>
  <si>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</si>
  <si>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</si>
  <si>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</si>
  <si>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</si>
  <si>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</si>
  <si>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</si>
  <si>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</si>
  <si>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</si>
  <si>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</si>
  <si>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</si>
  <si>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</si>
  <si>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</si>
  <si>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</si>
  <si>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</si>
  <si>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</si>
  <si>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</si>
  <si>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</si>
  <si>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</si>
  <si>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</si>
  <si>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</si>
  <si>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</si>
  <si>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</si>
  <si>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</si>
  <si>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</si>
  <si>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</si>
  <si>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</si>
  <si>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</si>
  <si>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</si>
  <si>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</si>
  <si>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</si>
  <si>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</si>
  <si>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</si>
  <si>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</si>
  <si>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</si>
  <si>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</si>
  <si>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</si>
  <si>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</si>
  <si>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</si>
  <si>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</si>
  <si>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</si>
  <si>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</si>
  <si>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</si>
  <si>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</si>
  <si>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</si>
  <si>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</si>
  <si>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</si>
  <si>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</si>
  <si>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</si>
  <si>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</si>
  <si>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</si>
  <si>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</si>
  <si>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</si>
  <si>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</si>
  <si>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</si>
  <si>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</si>
  <si>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</si>
  <si>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</si>
  <si>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</si>
  <si>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</si>
  <si>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</si>
  <si>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</si>
  <si>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</si>
  <si>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</si>
  <si>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</si>
  <si>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</si>
  <si>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</si>
  <si>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</si>
  <si>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</si>
  <si>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</si>
  <si>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</si>
  <si>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</si>
  <si>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</si>
  <si>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</si>
  <si>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</si>
  <si>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</si>
  <si>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</si>
  <si>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</si>
  <si>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</si>
  <si>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</si>
  <si>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</si>
  <si>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</si>
  <si>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</si>
  <si>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</si>
  <si>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</si>
  <si>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</si>
  <si>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</si>
  <si>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</si>
  <si>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</si>
  <si>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</si>
  <si>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</si>
  <si>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Number of Items</t>
  </si>
  <si>
    <t>Average of Rating</t>
  </si>
  <si>
    <t>Total sales</t>
  </si>
  <si>
    <t>Average of sales</t>
  </si>
  <si>
    <t xml:space="preserve">number of items </t>
  </si>
  <si>
    <t>avg rating</t>
  </si>
  <si>
    <t>KPI'S Requirements</t>
  </si>
  <si>
    <t>Row Labels</t>
  </si>
  <si>
    <t>TOTAL SALES BY FAT CONTENT</t>
  </si>
  <si>
    <t>Column Labels</t>
  </si>
  <si>
    <t>TOTAL SALES BY ITEM TYPE</t>
  </si>
  <si>
    <t>FAT  CONTENT BY OUTLET</t>
  </si>
  <si>
    <t>Total sales by outlet establishment</t>
  </si>
  <si>
    <t>SALES BY OUTLET SIZE</t>
  </si>
  <si>
    <t>Outlet location</t>
  </si>
  <si>
    <t>sales</t>
  </si>
  <si>
    <t>SALES BY OUTLET LOCATION</t>
  </si>
  <si>
    <t xml:space="preserve"> </t>
  </si>
  <si>
    <t>TOTAL SALES BY OUTLET TYPE</t>
  </si>
  <si>
    <t xml:space="preserve">AVERAGE SALES BY OUTLET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</si>
</sst>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quot;M&quot;"/>
    <numFmt numFmtId="166" formatCode="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Semiligh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12" xfId="0" applyBorder="1"/>
    <xf numFmtId="0" fontId="0" fillId="0" borderId="13" xfId="0" applyBorder="1"/>
    <xf numFmtId="0" fontId="0" fillId="0" borderId="14" xfId="0" applyBorder="1"/>
    <xf numFmtId="0" fontId="0" fillId="0" borderId="16" xfId="0" applyBorder="1"/>
    <xf numFmtId="164"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15" xfId="0" applyBorder="1"/>
    <xf numFmtId="0" fontId="0" fillId="0" borderId="17" xfId="0" applyBorder="1"/>
    <xf numFmtId="0" fontId="0" fillId="0" borderId="24" xfId="0" pivotButton="1" applyBorder="1"/>
    <xf numFmtId="0" fontId="0" fillId="0" borderId="21" xfId="0" applyBorder="1" applyAlignment="1">
      <alignment horizontal="left"/>
    </xf>
    <xf numFmtId="0" fontId="0" fillId="0" borderId="22" xfId="0" applyBorder="1" applyAlignment="1">
      <alignment horizontal="left"/>
    </xf>
    <xf numFmtId="0" fontId="0" fillId="0" borderId="24" xfId="0" applyBorder="1"/>
    <xf numFmtId="3" fontId="0" fillId="0" borderId="16" xfId="0" applyNumberFormat="1" applyBorder="1"/>
    <xf numFmtId="165" fontId="0" fillId="0" borderId="15" xfId="0" applyNumberFormat="1" applyBorder="1"/>
    <xf numFmtId="166" fontId="0" fillId="0" borderId="21" xfId="0" applyNumberFormat="1" applyBorder="1"/>
    <xf numFmtId="166" fontId="0" fillId="0" borderId="22" xfId="0" applyNumberFormat="1" applyBorder="1"/>
    <xf numFmtId="166" fontId="0" fillId="0" borderId="10" xfId="0" applyNumberFormat="1" applyBorder="1"/>
    <xf numFmtId="166" fontId="0" fillId="0" borderId="13" xfId="0" applyNumberFormat="1" applyBorder="1"/>
    <xf numFmtId="166" fontId="0" fillId="0" borderId="15" xfId="0" applyNumberFormat="1" applyBorder="1"/>
    <xf numFmtId="166" fontId="0" fillId="0" borderId="12" xfId="0" applyNumberFormat="1" applyBorder="1"/>
    <xf numFmtId="166" fontId="0" fillId="0" borderId="14" xfId="0" applyNumberFormat="1" applyBorder="1"/>
    <xf numFmtId="166" fontId="0" fillId="0" borderId="17" xfId="0" applyNumberFormat="1" applyBorder="1"/>
    <xf numFmtId="166" fontId="0" fillId="0" borderId="23" xfId="0" applyNumberFormat="1" applyBorder="1"/>
    <xf numFmtId="0" fontId="0" fillId="0" borderId="23" xfId="0" applyBorder="1" applyAlignment="1">
      <alignment horizontal="left"/>
    </xf>
    <xf numFmtId="0" fontId="0" fillId="0" borderId="10" xfId="0" applyBorder="1"/>
    <xf numFmtId="164" fontId="0" fillId="0" borderId="21" xfId="0" applyNumberFormat="1" applyBorder="1"/>
    <xf numFmtId="164" fontId="0" fillId="0" borderId="23" xfId="0" applyNumberFormat="1" applyBorder="1"/>
    <xf numFmtId="164" fontId="0" fillId="0" borderId="22" xfId="0" applyNumberFormat="1" applyBorder="1"/>
    <xf numFmtId="0" fontId="0" fillId="0" borderId="11" xfId="0" applyBorder="1"/>
    <xf numFmtId="0" fontId="18" fillId="0" borderId="0" xfId="0" applyFont="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6452A1C0-E162-46E8-9D4E-6AF10420A08F}">
      <tableStyleElement type="wholeTable" dxfId="113"/>
      <tableStyleElement type="headerRow" dxfId="112"/>
    </tableStyle>
  </tableStyles>
  <colors>
    <mruColors>
      <color rgb="FFFFD200"/>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E1-4C32-91A4-148E10A77B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E1-4C32-91A4-148E10A77B7B}"/>
              </c:ext>
            </c:extLst>
          </c:dPt>
          <c:cat>
            <c:strRef>
              <c:f>'sheets design'!$A$18:$A$19</c:f>
              <c:strCache>
                <c:ptCount val="2"/>
                <c:pt idx="0">
                  <c:v>Low Fat</c:v>
                </c:pt>
                <c:pt idx="1">
                  <c:v>Regular</c:v>
                </c:pt>
              </c:strCache>
            </c:strRef>
          </c:cat>
          <c:val>
            <c:numRef>
              <c:f>'sheets design'!$B$18:$B$19</c:f>
              <c:numCache>
                <c:formatCode>0.0,"k"</c:formatCode>
                <c:ptCount val="2"/>
                <c:pt idx="0">
                  <c:v>776319.68840000057</c:v>
                </c:pt>
                <c:pt idx="1">
                  <c:v>425361.8043999995</c:v>
                </c:pt>
              </c:numCache>
            </c:numRef>
          </c:val>
          <c:extLst>
            <c:ext xmlns:c16="http://schemas.microsoft.com/office/drawing/2014/chart" uri="{C3380CC4-5D6E-409C-BE32-E72D297353CC}">
              <c16:uniqueId val="{00000000-62D4-4CC9-BCA7-510A022DC5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design'!$B$30:$B$31</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design'!$A$32:$A$34</c:f>
              <c:strCache>
                <c:ptCount val="3"/>
                <c:pt idx="0">
                  <c:v>Tier 1</c:v>
                </c:pt>
                <c:pt idx="1">
                  <c:v>Tier 2</c:v>
                </c:pt>
                <c:pt idx="2">
                  <c:v>Tier 3</c:v>
                </c:pt>
              </c:strCache>
            </c:strRef>
          </c:cat>
          <c:val>
            <c:numRef>
              <c:f>'sheets design'!$B$32:$B$34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80FB-4148-B186-DAFE74101330}"/>
            </c:ext>
          </c:extLst>
        </c:ser>
        <c:ser>
          <c:idx val="1"/>
          <c:order val="1"/>
          <c:tx>
            <c:strRef>
              <c:f>'sheets design'!$C$30:$C$31</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design'!$A$32:$A$34</c:f>
              <c:strCache>
                <c:ptCount val="3"/>
                <c:pt idx="0">
                  <c:v>Tier 1</c:v>
                </c:pt>
                <c:pt idx="1">
                  <c:v>Tier 2</c:v>
                </c:pt>
                <c:pt idx="2">
                  <c:v>Tier 3</c:v>
                </c:pt>
              </c:strCache>
            </c:strRef>
          </c:cat>
          <c:val>
            <c:numRef>
              <c:f>'sheets design'!$C$32:$C$34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80FB-4148-B186-DAFE74101330}"/>
            </c:ext>
          </c:extLst>
        </c:ser>
        <c:dLbls>
          <c:dLblPos val="outEnd"/>
          <c:showLegendKey val="0"/>
          <c:showVal val="1"/>
          <c:showCatName val="0"/>
          <c:showSerName val="0"/>
          <c:showPercent val="0"/>
          <c:showBubbleSize val="0"/>
        </c:dLbls>
        <c:gapWidth val="182"/>
        <c:axId val="1050611055"/>
        <c:axId val="1050611535"/>
      </c:barChart>
      <c:catAx>
        <c:axId val="105061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11535"/>
        <c:crosses val="autoZero"/>
        <c:auto val="1"/>
        <c:lblAlgn val="ctr"/>
        <c:lblOffset val="100"/>
        <c:noMultiLvlLbl val="0"/>
      </c:catAx>
      <c:valAx>
        <c:axId val="105061153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110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design'!$A$50:$A$65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design'!$B$50:$B$65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D8B-4580-AC12-94AF61FFD368}"/>
            </c:ext>
          </c:extLst>
        </c:ser>
        <c:dLbls>
          <c:dLblPos val="outEnd"/>
          <c:showLegendKey val="0"/>
          <c:showVal val="1"/>
          <c:showCatName val="0"/>
          <c:showSerName val="0"/>
          <c:showPercent val="0"/>
          <c:showBubbleSize val="0"/>
        </c:dLbls>
        <c:gapWidth val="182"/>
        <c:axId val="1050634575"/>
        <c:axId val="1050638415"/>
      </c:barChart>
      <c:catAx>
        <c:axId val="1050634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38415"/>
        <c:crosses val="autoZero"/>
        <c:auto val="1"/>
        <c:lblAlgn val="ctr"/>
        <c:lblOffset val="100"/>
        <c:noMultiLvlLbl val="0"/>
      </c:catAx>
      <c:valAx>
        <c:axId val="1050638415"/>
        <c:scaling>
          <c:orientation val="minMax"/>
        </c:scaling>
        <c:delete val="1"/>
        <c:axPos val="b"/>
        <c:numFmt formatCode="0.0,&quot;k&quot;" sourceLinked="1"/>
        <c:majorTickMark val="out"/>
        <c:minorTickMark val="none"/>
        <c:tickLblPos val="nextTo"/>
        <c:crossAx val="105063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37695120863433E-2"/>
          <c:y val="2.3148148148148147E-2"/>
          <c:w val="0.76871427135871306"/>
          <c:h val="0.8416746864975212"/>
        </c:manualLayout>
      </c:layout>
      <c:areaChart>
        <c:grouping val="standard"/>
        <c:varyColors val="0"/>
        <c:ser>
          <c:idx val="0"/>
          <c:order val="0"/>
          <c:tx>
            <c:strRef>
              <c:f>'sheets design'!$B$72</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design'!$A$73:$A$81</c:f>
              <c:strCache>
                <c:ptCount val="9"/>
                <c:pt idx="0">
                  <c:v>2011</c:v>
                </c:pt>
                <c:pt idx="1">
                  <c:v>2012</c:v>
                </c:pt>
                <c:pt idx="2">
                  <c:v>2014</c:v>
                </c:pt>
                <c:pt idx="3">
                  <c:v>2015</c:v>
                </c:pt>
                <c:pt idx="4">
                  <c:v>2016</c:v>
                </c:pt>
                <c:pt idx="5">
                  <c:v>2017</c:v>
                </c:pt>
                <c:pt idx="6">
                  <c:v>2018</c:v>
                </c:pt>
                <c:pt idx="7">
                  <c:v>2020</c:v>
                </c:pt>
                <c:pt idx="8">
                  <c:v>2022</c:v>
                </c:pt>
              </c:strCache>
            </c:strRef>
          </c:cat>
          <c:val>
            <c:numRef>
              <c:f>'sheets design'!$B$73:$B$81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C6A-405D-87EE-B55111B822D7}"/>
            </c:ext>
          </c:extLst>
        </c:ser>
        <c:dLbls>
          <c:showLegendKey val="0"/>
          <c:showVal val="1"/>
          <c:showCatName val="0"/>
          <c:showSerName val="0"/>
          <c:showPercent val="0"/>
          <c:showBubbleSize val="0"/>
        </c:dLbls>
        <c:axId val="799536127"/>
        <c:axId val="799536607"/>
      </c:areaChart>
      <c:catAx>
        <c:axId val="799536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536607"/>
        <c:crosses val="autoZero"/>
        <c:auto val="1"/>
        <c:lblAlgn val="ctr"/>
        <c:lblOffset val="100"/>
        <c:noMultiLvlLbl val="0"/>
      </c:catAx>
      <c:valAx>
        <c:axId val="799536607"/>
        <c:scaling>
          <c:orientation val="minMax"/>
        </c:scaling>
        <c:delete val="1"/>
        <c:axPos val="l"/>
        <c:numFmt formatCode="0.0,&quot;k&quot;" sourceLinked="1"/>
        <c:majorTickMark val="out"/>
        <c:minorTickMark val="none"/>
        <c:tickLblPos val="nextTo"/>
        <c:crossAx val="799536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8-42E1-A8A9-506CBAACBA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8-42E1-A8A9-506CBAACBA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D8-42E1-A8A9-506CBAACBA31}"/>
              </c:ext>
            </c:extLst>
          </c:dPt>
          <c:cat>
            <c:strRef>
              <c:f>'sheets design'!$A$92:$A$94</c:f>
              <c:strCache>
                <c:ptCount val="3"/>
                <c:pt idx="0">
                  <c:v>High</c:v>
                </c:pt>
                <c:pt idx="1">
                  <c:v>Medium</c:v>
                </c:pt>
                <c:pt idx="2">
                  <c:v>Small</c:v>
                </c:pt>
              </c:strCache>
            </c:strRef>
          </c:cat>
          <c:val>
            <c:numRef>
              <c:f>'sheets design'!$B$92:$B$94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703-4200-A8C8-5C40789C5C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509186351706"/>
          <c:y val="0.10185185185185185"/>
          <c:w val="0.69455271216097991"/>
          <c:h val="0.89814814814814814"/>
        </c:manualLayout>
      </c:layout>
      <c:barChart>
        <c:barDir val="bar"/>
        <c:grouping val="clustered"/>
        <c:varyColors val="0"/>
        <c:ser>
          <c:idx val="0"/>
          <c:order val="0"/>
          <c:tx>
            <c:strRef>
              <c:f>'sheets design'!$B$127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design'!$A$128:$A$131</c:f>
              <c:strCache>
                <c:ptCount val="4"/>
                <c:pt idx="0">
                  <c:v>Grocery Store</c:v>
                </c:pt>
                <c:pt idx="1">
                  <c:v>Supermarket Type1</c:v>
                </c:pt>
                <c:pt idx="2">
                  <c:v>Supermarket Type2</c:v>
                </c:pt>
                <c:pt idx="3">
                  <c:v>Supermarket Type3</c:v>
                </c:pt>
              </c:strCache>
            </c:strRef>
          </c:cat>
          <c:val>
            <c:numRef>
              <c:f>'sheets design'!$B$128:$B$131</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2D60-4890-AD28-20D0CAF9F4E6}"/>
            </c:ext>
          </c:extLst>
        </c:ser>
        <c:dLbls>
          <c:dLblPos val="outEnd"/>
          <c:showLegendKey val="0"/>
          <c:showVal val="1"/>
          <c:showCatName val="0"/>
          <c:showSerName val="0"/>
          <c:showPercent val="0"/>
          <c:showBubbleSize val="0"/>
        </c:dLbls>
        <c:gapWidth val="182"/>
        <c:axId val="886721072"/>
        <c:axId val="886740272"/>
      </c:barChart>
      <c:catAx>
        <c:axId val="88672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740272"/>
        <c:crosses val="autoZero"/>
        <c:auto val="1"/>
        <c:lblAlgn val="ctr"/>
        <c:lblOffset val="100"/>
        <c:noMultiLvlLbl val="0"/>
      </c:catAx>
      <c:valAx>
        <c:axId val="886740272"/>
        <c:scaling>
          <c:orientation val="minMax"/>
        </c:scaling>
        <c:delete val="1"/>
        <c:axPos val="b"/>
        <c:numFmt formatCode="0.0,&quot;k&quot;" sourceLinked="1"/>
        <c:majorTickMark val="none"/>
        <c:minorTickMark val="none"/>
        <c:tickLblPos val="nextTo"/>
        <c:crossAx val="88672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design'!$B$148</c:f>
              <c:strCache>
                <c:ptCount val="1"/>
                <c:pt idx="0">
                  <c:v>Total</c:v>
                </c:pt>
              </c:strCache>
            </c:strRef>
          </c:tx>
          <c:spPr>
            <a:solidFill>
              <a:schemeClr val="accent1"/>
            </a:solidFill>
            <a:ln>
              <a:noFill/>
            </a:ln>
            <a:effectLst/>
          </c:spPr>
          <c:invertIfNegative val="0"/>
          <c:cat>
            <c:strRef>
              <c:f>'sheets design'!$A$149:$A$152</c:f>
              <c:strCache>
                <c:ptCount val="4"/>
                <c:pt idx="0">
                  <c:v>Grocery Store</c:v>
                </c:pt>
                <c:pt idx="1">
                  <c:v>Supermarket Type1</c:v>
                </c:pt>
                <c:pt idx="2">
                  <c:v>Supermarket Type2</c:v>
                </c:pt>
                <c:pt idx="3">
                  <c:v>Supermarket Type3</c:v>
                </c:pt>
              </c:strCache>
            </c:strRef>
          </c:cat>
          <c:val>
            <c:numRef>
              <c:f>'sheets design'!$B$149:$B$152</c:f>
              <c:numCache>
                <c:formatCode>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944D-440B-BF77-82D0A08F61CB}"/>
            </c:ext>
          </c:extLst>
        </c:ser>
        <c:dLbls>
          <c:showLegendKey val="0"/>
          <c:showVal val="0"/>
          <c:showCatName val="0"/>
          <c:showSerName val="0"/>
          <c:showPercent val="0"/>
          <c:showBubbleSize val="0"/>
        </c:dLbls>
        <c:gapWidth val="182"/>
        <c:axId val="886684592"/>
        <c:axId val="886685072"/>
      </c:barChart>
      <c:catAx>
        <c:axId val="88668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685072"/>
        <c:crosses val="autoZero"/>
        <c:auto val="1"/>
        <c:lblAlgn val="ctr"/>
        <c:lblOffset val="100"/>
        <c:noMultiLvlLbl val="0"/>
      </c:catAx>
      <c:valAx>
        <c:axId val="886685072"/>
        <c:scaling>
          <c:orientation val="minMax"/>
        </c:scaling>
        <c:delete val="1"/>
        <c:axPos val="b"/>
        <c:numFmt formatCode="0.0" sourceLinked="1"/>
        <c:majorTickMark val="none"/>
        <c:minorTickMark val="none"/>
        <c:tickLblPos val="nextTo"/>
        <c:crossAx val="88668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9.3462581246470999E-2"/>
              <c:y val="0.20426612498456651"/>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CFB13F73-A9B1-4795-AA6C-279C0C426A74}" type="VALUE">
                  <a:rPr lang="en-US" sz="1100">
                    <a:latin typeface="Segoe UI Semibold" panose="020B0702040204020203" pitchFamily="34" charset="0"/>
                    <a:cs typeface="Segoe UI Semibold" panose="020B0702040204020203" pitchFamily="34" charset="0"/>
                  </a:rPr>
                  <a:pPr>
                    <a:defRPr sz="1100">
                      <a:latin typeface="Segoe UI Semibold" panose="020B0702040204020203" pitchFamily="34" charset="0"/>
                      <a:cs typeface="Segoe UI Semibold" panose="020B070204020402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3469443541766624"/>
                  <c:h val="0.21619189851597206"/>
                </c:manualLayout>
              </c15:layout>
              <c15:dlblFieldTable/>
              <c15:showDataLabelsRange val="0"/>
            </c:ext>
          </c:extLst>
        </c:dLbl>
      </c:pivotFmt>
      <c:pivotFmt>
        <c:idx val="8"/>
        <c:spPr>
          <a:solidFill>
            <a:schemeClr val="accent6">
              <a:lumMod val="75000"/>
            </a:schemeClr>
          </a:solidFill>
          <a:ln w="19050">
            <a:solidFill>
              <a:schemeClr val="lt1"/>
            </a:solidFill>
          </a:ln>
          <a:effectLst/>
        </c:spPr>
        <c:dLbl>
          <c:idx val="0"/>
          <c:layout>
            <c:manualLayout>
              <c:x val="-9.1650349216040733E-2"/>
              <c:y val="-9.6125235286854849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F86696F6-602E-494B-BC0D-6EAA3F43CF41}" type="VALUE">
                  <a:rPr lang="en-US" sz="1100">
                    <a:latin typeface="Segoe UI Semibold" panose="020B0702040204020203" pitchFamily="34" charset="0"/>
                    <a:cs typeface="Segoe UI Semibold" panose="020B0702040204020203" pitchFamily="34" charset="0"/>
                  </a:rPr>
                  <a:pPr>
                    <a:defRPr sz="1100">
                      <a:latin typeface="Segoe UI Semibold" panose="020B0702040204020203" pitchFamily="34" charset="0"/>
                      <a:cs typeface="Segoe UI Semibold" panose="020B070204020402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996083811849768"/>
                  <c:h val="0.1561136264616878"/>
                </c:manualLayout>
              </c15:layout>
              <c15:dlblFieldTable/>
              <c15:showDataLabelsRange val="0"/>
            </c:ext>
          </c:extLst>
        </c:dLbl>
      </c:pivotFmt>
    </c:pivotFmts>
    <c:plotArea>
      <c:layout>
        <c:manualLayout>
          <c:layoutTarget val="inner"/>
          <c:xMode val="edge"/>
          <c:yMode val="edge"/>
          <c:x val="0.15665102494875147"/>
          <c:y val="0.15529334517237972"/>
          <c:w val="0.70891621657911297"/>
          <c:h val="0.76676479451102197"/>
        </c:manualLayout>
      </c:layout>
      <c:doughnutChart>
        <c:varyColors val="1"/>
        <c:ser>
          <c:idx val="0"/>
          <c:order val="0"/>
          <c:tx>
            <c:strRef>
              <c:f>'sheets design'!$B$17</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02E-45E5-A85F-29A546DFE5B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02E-45E5-A85F-29A546DFE5BE}"/>
              </c:ext>
            </c:extLst>
          </c:dPt>
          <c:dLbls>
            <c:dLbl>
              <c:idx val="0"/>
              <c:layout>
                <c:manualLayout>
                  <c:x val="9.3462581246470999E-2"/>
                  <c:y val="0.20426612498456651"/>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CFB13F73-A9B1-4795-AA6C-279C0C426A74}" type="VALUE">
                      <a:rPr lang="en-US" sz="1100">
                        <a:latin typeface="Segoe UI Semibold" panose="020B0702040204020203" pitchFamily="34" charset="0"/>
                        <a:cs typeface="Segoe UI Semibold" panose="020B0702040204020203" pitchFamily="34" charset="0"/>
                      </a:rPr>
                      <a:pPr>
                        <a:defRPr sz="1100">
                          <a:latin typeface="Segoe UI Semibold" panose="020B0702040204020203" pitchFamily="34" charset="0"/>
                          <a:cs typeface="Segoe UI Semibold" panose="020B070204020402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3469443541766624"/>
                      <c:h val="0.21619189851597206"/>
                    </c:manualLayout>
                  </c15:layout>
                  <c15:dlblFieldTable/>
                  <c15:showDataLabelsRange val="0"/>
                </c:ext>
                <c:ext xmlns:c16="http://schemas.microsoft.com/office/drawing/2014/chart" uri="{C3380CC4-5D6E-409C-BE32-E72D297353CC}">
                  <c16:uniqueId val="{00000001-C02E-45E5-A85F-29A546DFE5BE}"/>
                </c:ext>
              </c:extLst>
            </c:dLbl>
            <c:dLbl>
              <c:idx val="1"/>
              <c:layout>
                <c:manualLayout>
                  <c:x val="-9.1650349216040733E-2"/>
                  <c:y val="-9.6125235286854849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F86696F6-602E-494B-BC0D-6EAA3F43CF41}" type="VALUE">
                      <a:rPr lang="en-US" sz="1100">
                        <a:latin typeface="Segoe UI Semibold" panose="020B0702040204020203" pitchFamily="34" charset="0"/>
                        <a:cs typeface="Segoe UI Semibold" panose="020B0702040204020203" pitchFamily="34" charset="0"/>
                      </a:rPr>
                      <a:pPr>
                        <a:defRPr sz="1100">
                          <a:latin typeface="Segoe UI Semibold" panose="020B0702040204020203" pitchFamily="34" charset="0"/>
                          <a:cs typeface="Segoe UI Semibold" panose="020B070204020402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996083811849768"/>
                      <c:h val="0.1561136264616878"/>
                    </c:manualLayout>
                  </c15:layout>
                  <c15:dlblFieldTable/>
                  <c15:showDataLabelsRange val="0"/>
                </c:ext>
                <c:ext xmlns:c16="http://schemas.microsoft.com/office/drawing/2014/chart" uri="{C3380CC4-5D6E-409C-BE32-E72D297353CC}">
                  <c16:uniqueId val="{00000003-C02E-45E5-A85F-29A546DFE5B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'sheets design'!$A$18:$A$19</c:f>
              <c:strCache>
                <c:ptCount val="2"/>
                <c:pt idx="0">
                  <c:v>Low Fat</c:v>
                </c:pt>
                <c:pt idx="1">
                  <c:v>Regular</c:v>
                </c:pt>
              </c:strCache>
            </c:strRef>
          </c:cat>
          <c:val>
            <c:numRef>
              <c:f>'sheets design'!$B$18:$B$19</c:f>
              <c:numCache>
                <c:formatCode>0.0,"k"</c:formatCode>
                <c:ptCount val="2"/>
                <c:pt idx="0">
                  <c:v>776319.68840000057</c:v>
                </c:pt>
                <c:pt idx="1">
                  <c:v>425361.8043999995</c:v>
                </c:pt>
              </c:numCache>
            </c:numRef>
          </c:val>
          <c:extLst>
            <c:ext xmlns:c16="http://schemas.microsoft.com/office/drawing/2014/chart" uri="{C3380CC4-5D6E-409C-BE32-E72D297353CC}">
              <c16:uniqueId val="{00000004-C02E-45E5-A85F-29A546DFE5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60861796648902"/>
          <c:y val="0.16111951925415272"/>
          <c:w val="0.70403571242351726"/>
          <c:h val="0.77665824268721684"/>
        </c:manualLayout>
      </c:layout>
      <c:barChart>
        <c:barDir val="bar"/>
        <c:grouping val="clustered"/>
        <c:varyColors val="0"/>
        <c:ser>
          <c:idx val="0"/>
          <c:order val="0"/>
          <c:tx>
            <c:strRef>
              <c:f>'sheets design'!$B$30:$B$31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design'!$A$32:$A$34</c:f>
              <c:strCache>
                <c:ptCount val="3"/>
                <c:pt idx="0">
                  <c:v>Tier 1</c:v>
                </c:pt>
                <c:pt idx="1">
                  <c:v>Tier 2</c:v>
                </c:pt>
                <c:pt idx="2">
                  <c:v>Tier 3</c:v>
                </c:pt>
              </c:strCache>
            </c:strRef>
          </c:cat>
          <c:val>
            <c:numRef>
              <c:f>'sheets design'!$B$32:$B$34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388-4745-9F46-A62E7B42075C}"/>
            </c:ext>
          </c:extLst>
        </c:ser>
        <c:ser>
          <c:idx val="1"/>
          <c:order val="1"/>
          <c:tx>
            <c:strRef>
              <c:f>'sheets design'!$C$30:$C$31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design'!$A$32:$A$34</c:f>
              <c:strCache>
                <c:ptCount val="3"/>
                <c:pt idx="0">
                  <c:v>Tier 1</c:v>
                </c:pt>
                <c:pt idx="1">
                  <c:v>Tier 2</c:v>
                </c:pt>
                <c:pt idx="2">
                  <c:v>Tier 3</c:v>
                </c:pt>
              </c:strCache>
            </c:strRef>
          </c:cat>
          <c:val>
            <c:numRef>
              <c:f>'sheets design'!$C$32:$C$34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A388-4745-9F46-A62E7B42075C}"/>
            </c:ext>
          </c:extLst>
        </c:ser>
        <c:dLbls>
          <c:dLblPos val="outEnd"/>
          <c:showLegendKey val="0"/>
          <c:showVal val="1"/>
          <c:showCatName val="0"/>
          <c:showSerName val="0"/>
          <c:showPercent val="0"/>
          <c:showBubbleSize val="0"/>
        </c:dLbls>
        <c:gapWidth val="60"/>
        <c:axId val="1050611055"/>
        <c:axId val="1050611535"/>
      </c:barChart>
      <c:catAx>
        <c:axId val="105061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0611535"/>
        <c:crosses val="autoZero"/>
        <c:auto val="1"/>
        <c:lblAlgn val="ctr"/>
        <c:lblOffset val="100"/>
        <c:noMultiLvlLbl val="0"/>
      </c:catAx>
      <c:valAx>
        <c:axId val="1050611535"/>
        <c:scaling>
          <c:orientation val="minMax"/>
        </c:scaling>
        <c:delete val="1"/>
        <c:axPos val="b"/>
        <c:numFmt formatCode="0.0,&quot;k&quot;" sourceLinked="1"/>
        <c:majorTickMark val="none"/>
        <c:minorTickMark val="none"/>
        <c:tickLblPos val="nextTo"/>
        <c:crossAx val="10506110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design'!$A$50:$A$65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design'!$B$50:$B$65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1FC-42CC-83E2-28F969F41E54}"/>
            </c:ext>
          </c:extLst>
        </c:ser>
        <c:dLbls>
          <c:dLblPos val="outEnd"/>
          <c:showLegendKey val="0"/>
          <c:showVal val="1"/>
          <c:showCatName val="0"/>
          <c:showSerName val="0"/>
          <c:showPercent val="0"/>
          <c:showBubbleSize val="0"/>
        </c:dLbls>
        <c:gapWidth val="50"/>
        <c:axId val="1050634575"/>
        <c:axId val="1050638415"/>
      </c:barChart>
      <c:catAx>
        <c:axId val="1050634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0638415"/>
        <c:crosses val="autoZero"/>
        <c:auto val="1"/>
        <c:lblAlgn val="ctr"/>
        <c:lblOffset val="100"/>
        <c:noMultiLvlLbl val="0"/>
      </c:catAx>
      <c:valAx>
        <c:axId val="1050638415"/>
        <c:scaling>
          <c:orientation val="minMax"/>
        </c:scaling>
        <c:delete val="1"/>
        <c:axPos val="b"/>
        <c:numFmt formatCode="0.0,&quot;k&quot;" sourceLinked="1"/>
        <c:majorTickMark val="out"/>
        <c:minorTickMark val="none"/>
        <c:tickLblPos val="nextTo"/>
        <c:crossAx val="105063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8126517200783332E-3"/>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3625303440156666E-2"/>
              <c:y val="-0.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9.083535626771097E-3"/>
              <c:y val="-0.28009204578594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8167071253542222E-2"/>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2983720355281762E-3"/>
              <c:y val="-0.39144774216353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3.4063258600391597E-3"/>
              <c:y val="-0.26620352143482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8126517200783332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4.5417678133855763E-3"/>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35733914695701E-2"/>
          <c:y val="2.8266464198697543E-2"/>
          <c:w val="0.92835434191167288"/>
          <c:h val="0.8416746864975212"/>
        </c:manualLayout>
      </c:layout>
      <c:areaChart>
        <c:grouping val="standard"/>
        <c:varyColors val="0"/>
        <c:ser>
          <c:idx val="0"/>
          <c:order val="0"/>
          <c:tx>
            <c:strRef>
              <c:f>'sheets design'!$B$72</c:f>
              <c:strCache>
                <c:ptCount val="1"/>
                <c:pt idx="0">
                  <c:v>Total</c:v>
                </c:pt>
              </c:strCache>
            </c:strRef>
          </c:tx>
          <c:spPr>
            <a:solidFill>
              <a:srgbClr val="D09E00">
                <a:alpha val="80000"/>
              </a:srgbClr>
            </a:solidFill>
            <a:ln w="25400">
              <a:solidFill>
                <a:schemeClr val="tx1">
                  <a:lumMod val="85000"/>
                  <a:lumOff val="15000"/>
                </a:schemeClr>
              </a:solidFill>
            </a:ln>
            <a:effectLst>
              <a:innerShdw dist="12700" dir="16200000">
                <a:schemeClr val="lt1">
                  <a:alpha val="75000"/>
                </a:schemeClr>
              </a:innerShdw>
            </a:effectLst>
          </c:spPr>
          <c:dPt>
            <c:idx val="1"/>
            <c:bubble3D val="0"/>
            <c:extLst>
              <c:ext xmlns:c16="http://schemas.microsoft.com/office/drawing/2014/chart" uri="{C3380CC4-5D6E-409C-BE32-E72D297353CC}">
                <c16:uniqueId val="{00000008-5D61-4FF4-933F-CF7D90B67F10}"/>
              </c:ext>
            </c:extLst>
          </c:dPt>
          <c:dPt>
            <c:idx val="2"/>
            <c:bubble3D val="0"/>
            <c:extLst>
              <c:ext xmlns:c16="http://schemas.microsoft.com/office/drawing/2014/chart" uri="{C3380CC4-5D6E-409C-BE32-E72D297353CC}">
                <c16:uniqueId val="{00000001-5D61-4FF4-933F-CF7D90B67F10}"/>
              </c:ext>
            </c:extLst>
          </c:dPt>
          <c:dPt>
            <c:idx val="3"/>
            <c:bubble3D val="0"/>
            <c:extLst>
              <c:ext xmlns:c16="http://schemas.microsoft.com/office/drawing/2014/chart" uri="{C3380CC4-5D6E-409C-BE32-E72D297353CC}">
                <c16:uniqueId val="{00000002-5D61-4FF4-933F-CF7D90B67F10}"/>
              </c:ext>
            </c:extLst>
          </c:dPt>
          <c:dPt>
            <c:idx val="4"/>
            <c:bubble3D val="0"/>
            <c:extLst>
              <c:ext xmlns:c16="http://schemas.microsoft.com/office/drawing/2014/chart" uri="{C3380CC4-5D6E-409C-BE32-E72D297353CC}">
                <c16:uniqueId val="{00000003-5D61-4FF4-933F-CF7D90B67F10}"/>
              </c:ext>
            </c:extLst>
          </c:dPt>
          <c:dPt>
            <c:idx val="5"/>
            <c:bubble3D val="0"/>
            <c:extLst>
              <c:ext xmlns:c16="http://schemas.microsoft.com/office/drawing/2014/chart" uri="{C3380CC4-5D6E-409C-BE32-E72D297353CC}">
                <c16:uniqueId val="{00000004-5D61-4FF4-933F-CF7D90B67F10}"/>
              </c:ext>
            </c:extLst>
          </c:dPt>
          <c:dPt>
            <c:idx val="6"/>
            <c:bubble3D val="0"/>
            <c:extLst>
              <c:ext xmlns:c16="http://schemas.microsoft.com/office/drawing/2014/chart" uri="{C3380CC4-5D6E-409C-BE32-E72D297353CC}">
                <c16:uniqueId val="{00000005-5D61-4FF4-933F-CF7D90B67F10}"/>
              </c:ext>
            </c:extLst>
          </c:dPt>
          <c:dPt>
            <c:idx val="7"/>
            <c:bubble3D val="0"/>
            <c:extLst>
              <c:ext xmlns:c16="http://schemas.microsoft.com/office/drawing/2014/chart" uri="{C3380CC4-5D6E-409C-BE32-E72D297353CC}">
                <c16:uniqueId val="{00000006-5D61-4FF4-933F-CF7D90B67F10}"/>
              </c:ext>
            </c:extLst>
          </c:dPt>
          <c:dPt>
            <c:idx val="8"/>
            <c:bubble3D val="0"/>
            <c:extLst>
              <c:ext xmlns:c16="http://schemas.microsoft.com/office/drawing/2014/chart" uri="{C3380CC4-5D6E-409C-BE32-E72D297353CC}">
                <c16:uniqueId val="{00000007-5D61-4FF4-933F-CF7D90B67F10}"/>
              </c:ext>
            </c:extLst>
          </c:dPt>
          <c:dLbls>
            <c:dLbl>
              <c:idx val="1"/>
              <c:layout>
                <c:manualLayout>
                  <c:x val="4.5417678133855763E-3"/>
                  <c:y val="-0.249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61-4FF4-933F-CF7D90B67F10}"/>
                </c:ext>
              </c:extLst>
            </c:dLbl>
            <c:dLbl>
              <c:idx val="2"/>
              <c:layout>
                <c:manualLayout>
                  <c:x val="-6.8126517200783332E-3"/>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61-4FF4-933F-CF7D90B67F10}"/>
                </c:ext>
              </c:extLst>
            </c:dLbl>
            <c:dLbl>
              <c:idx val="3"/>
              <c:layout>
                <c:manualLayout>
                  <c:x val="-1.3625303440156666E-2"/>
                  <c:y val="-0.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61-4FF4-933F-CF7D90B67F10}"/>
                </c:ext>
              </c:extLst>
            </c:dLbl>
            <c:dLbl>
              <c:idx val="4"/>
              <c:layout>
                <c:manualLayout>
                  <c:x val="9.083535626771097E-3"/>
                  <c:y val="-0.28009204578594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61-4FF4-933F-CF7D90B67F10}"/>
                </c:ext>
              </c:extLst>
            </c:dLbl>
            <c:dLbl>
              <c:idx val="5"/>
              <c:layout>
                <c:manualLayout>
                  <c:x val="-1.8167071253542222E-2"/>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61-4FF4-933F-CF7D90B67F10}"/>
                </c:ext>
              </c:extLst>
            </c:dLbl>
            <c:dLbl>
              <c:idx val="6"/>
              <c:layout>
                <c:manualLayout>
                  <c:x val="2.2983720355281762E-3"/>
                  <c:y val="-0.391447742163533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61-4FF4-933F-CF7D90B67F10}"/>
                </c:ext>
              </c:extLst>
            </c:dLbl>
            <c:dLbl>
              <c:idx val="7"/>
              <c:layout>
                <c:manualLayout>
                  <c:x val="3.4063258600391597E-3"/>
                  <c:y val="-0.26620352143482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61-4FF4-933F-CF7D90B67F10}"/>
                </c:ext>
              </c:extLst>
            </c:dLbl>
            <c:dLbl>
              <c:idx val="8"/>
              <c:layout>
                <c:manualLayout>
                  <c:x val="-6.8126517200783332E-3"/>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61-4FF4-933F-CF7D90B67F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design'!$A$73:$A$81</c:f>
              <c:strCache>
                <c:ptCount val="9"/>
                <c:pt idx="0">
                  <c:v>2011</c:v>
                </c:pt>
                <c:pt idx="1">
                  <c:v>2012</c:v>
                </c:pt>
                <c:pt idx="2">
                  <c:v>2014</c:v>
                </c:pt>
                <c:pt idx="3">
                  <c:v>2015</c:v>
                </c:pt>
                <c:pt idx="4">
                  <c:v>2016</c:v>
                </c:pt>
                <c:pt idx="5">
                  <c:v>2017</c:v>
                </c:pt>
                <c:pt idx="6">
                  <c:v>2018</c:v>
                </c:pt>
                <c:pt idx="7">
                  <c:v>2020</c:v>
                </c:pt>
                <c:pt idx="8">
                  <c:v>2022</c:v>
                </c:pt>
              </c:strCache>
            </c:strRef>
          </c:cat>
          <c:val>
            <c:numRef>
              <c:f>'sheets design'!$B$73:$B$81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D61-4FF4-933F-CF7D90B67F10}"/>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799536127"/>
        <c:axId val="799536607"/>
      </c:areaChart>
      <c:catAx>
        <c:axId val="7995361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799536607"/>
        <c:crosses val="autoZero"/>
        <c:auto val="1"/>
        <c:lblAlgn val="ctr"/>
        <c:lblOffset val="100"/>
        <c:noMultiLvlLbl val="0"/>
      </c:catAx>
      <c:valAx>
        <c:axId val="799536607"/>
        <c:scaling>
          <c:orientation val="minMax"/>
        </c:scaling>
        <c:delete val="1"/>
        <c:axPos val="l"/>
        <c:numFmt formatCode="0.0,&quot;k&quot;" sourceLinked="1"/>
        <c:majorTickMark val="out"/>
        <c:minorTickMark val="none"/>
        <c:tickLblPos val="nextTo"/>
        <c:crossAx val="799536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774650219903177"/>
              <c:y val="-3.0475616387338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0.15774650219903177"/>
              <c:y val="9.1426849162016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accent6">
                <a:lumMod val="75000"/>
              </a:schemeClr>
            </a:solidFill>
          </a:ln>
          <a:effectLst/>
        </c:spPr>
        <c:dLbl>
          <c:idx val="0"/>
          <c:layout>
            <c:manualLayout>
              <c:x val="-3.2863854624798294E-2"/>
              <c:y val="-0.16456832849162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9442287448492"/>
          <c:y val="0.18209252781079968"/>
          <c:w val="0.78341167179204785"/>
          <c:h val="0.72648062302718375"/>
        </c:manualLayout>
      </c:layout>
      <c:doughnutChart>
        <c:varyColors val="1"/>
        <c:ser>
          <c:idx val="0"/>
          <c:order val="0"/>
          <c:tx>
            <c:strRef>
              <c:f>'sheets design'!$B$91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A07-4338-A2A7-573E16E28DF9}"/>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AA07-4338-A2A7-573E16E28DF9}"/>
              </c:ext>
            </c:extLst>
          </c:dPt>
          <c:dPt>
            <c:idx val="2"/>
            <c:bubble3D val="0"/>
            <c:spPr>
              <a:solidFill>
                <a:schemeClr val="accent6">
                  <a:lumMod val="75000"/>
                </a:schemeClr>
              </a:solidFill>
              <a:ln w="19050">
                <a:solidFill>
                  <a:schemeClr val="accent6">
                    <a:lumMod val="75000"/>
                  </a:schemeClr>
                </a:solidFill>
              </a:ln>
              <a:effectLst/>
            </c:spPr>
            <c:extLst>
              <c:ext xmlns:c16="http://schemas.microsoft.com/office/drawing/2014/chart" uri="{C3380CC4-5D6E-409C-BE32-E72D297353CC}">
                <c16:uniqueId val="{00000005-AA07-4338-A2A7-573E16E28DF9}"/>
              </c:ext>
            </c:extLst>
          </c:dPt>
          <c:dLbls>
            <c:dLbl>
              <c:idx val="0"/>
              <c:layout>
                <c:manualLayout>
                  <c:x val="0.15774650219903177"/>
                  <c:y val="-3.0475616387338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07-4338-A2A7-573E16E28DF9}"/>
                </c:ext>
              </c:extLst>
            </c:dLbl>
            <c:dLbl>
              <c:idx val="1"/>
              <c:layout>
                <c:manualLayout>
                  <c:x val="0.15774650219903177"/>
                  <c:y val="9.1426849162016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07-4338-A2A7-573E16E28DF9}"/>
                </c:ext>
              </c:extLst>
            </c:dLbl>
            <c:dLbl>
              <c:idx val="2"/>
              <c:layout>
                <c:manualLayout>
                  <c:x val="-3.2863854624798294E-2"/>
                  <c:y val="-0.16456832849162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07-4338-A2A7-573E16E28D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design'!$A$92:$A$94</c:f>
              <c:strCache>
                <c:ptCount val="3"/>
                <c:pt idx="0">
                  <c:v>High</c:v>
                </c:pt>
                <c:pt idx="1">
                  <c:v>Medium</c:v>
                </c:pt>
                <c:pt idx="2">
                  <c:v>Small</c:v>
                </c:pt>
              </c:strCache>
            </c:strRef>
          </c:cat>
          <c:val>
            <c:numRef>
              <c:f>'sheets design'!$B$92:$B$94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A07-4338-A2A7-573E16E28D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50153081157363"/>
          <c:y val="6.4814827702516176E-2"/>
          <c:w val="0.40261083909108719"/>
          <c:h val="0.87037034459496765"/>
        </c:manualLayout>
      </c:layout>
      <c:barChart>
        <c:barDir val="bar"/>
        <c:grouping val="clustered"/>
        <c:varyColors val="0"/>
        <c:ser>
          <c:idx val="0"/>
          <c:order val="0"/>
          <c:tx>
            <c:strRef>
              <c:f>'sheets design'!$B$127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design'!$A$128:$A$131</c:f>
              <c:strCache>
                <c:ptCount val="4"/>
                <c:pt idx="0">
                  <c:v>Grocery Store</c:v>
                </c:pt>
                <c:pt idx="1">
                  <c:v>Supermarket Type1</c:v>
                </c:pt>
                <c:pt idx="2">
                  <c:v>Supermarket Type2</c:v>
                </c:pt>
                <c:pt idx="3">
                  <c:v>Supermarket Type3</c:v>
                </c:pt>
              </c:strCache>
            </c:strRef>
          </c:cat>
          <c:val>
            <c:numRef>
              <c:f>'sheets design'!$B$128:$B$131</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F8C0-4395-B86B-C4E092AD2286}"/>
            </c:ext>
          </c:extLst>
        </c:ser>
        <c:dLbls>
          <c:dLblPos val="outEnd"/>
          <c:showLegendKey val="0"/>
          <c:showVal val="1"/>
          <c:showCatName val="0"/>
          <c:showSerName val="0"/>
          <c:showPercent val="0"/>
          <c:showBubbleSize val="0"/>
        </c:dLbls>
        <c:gapWidth val="60"/>
        <c:axId val="886721072"/>
        <c:axId val="886740272"/>
      </c:barChart>
      <c:catAx>
        <c:axId val="88672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86740272"/>
        <c:crosses val="autoZero"/>
        <c:auto val="1"/>
        <c:lblAlgn val="ctr"/>
        <c:lblOffset val="100"/>
        <c:noMultiLvlLbl val="0"/>
      </c:catAx>
      <c:valAx>
        <c:axId val="886740272"/>
        <c:scaling>
          <c:orientation val="minMax"/>
        </c:scaling>
        <c:delete val="1"/>
        <c:axPos val="b"/>
        <c:numFmt formatCode="0.0,&quot;k&quot;" sourceLinked="1"/>
        <c:majorTickMark val="none"/>
        <c:minorTickMark val="none"/>
        <c:tickLblPos val="nextTo"/>
        <c:crossAx val="8867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[NEWBLINKIT.xlsx]sheets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40449976352117"/>
                  <c:h val="0.10492001321826938"/>
                </c:manualLayout>
              </c15:layout>
            </c:ext>
          </c:extLst>
        </c:dLbl>
      </c:pivotFmt>
    </c:pivotFmts>
    <c:plotArea>
      <c:layout>
        <c:manualLayout>
          <c:layoutTarget val="inner"/>
          <c:xMode val="edge"/>
          <c:yMode val="edge"/>
          <c:x val="3.1354164866476755E-2"/>
          <c:y val="7.4533342723360763E-2"/>
          <c:w val="0.90145833899107308"/>
          <c:h val="0.87386665077585102"/>
        </c:manualLayout>
      </c:layout>
      <c:barChart>
        <c:barDir val="bar"/>
        <c:grouping val="clustered"/>
        <c:varyColors val="0"/>
        <c:ser>
          <c:idx val="0"/>
          <c:order val="0"/>
          <c:tx>
            <c:strRef>
              <c:f>'sheets design'!$B$148</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CC3A-40F6-A8C0-0A14F154C364}"/>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40449976352117"/>
                      <c:h val="0.10492001321826938"/>
                    </c:manualLayout>
                  </c15:layout>
                </c:ext>
                <c:ext xmlns:c16="http://schemas.microsoft.com/office/drawing/2014/chart" uri="{C3380CC4-5D6E-409C-BE32-E72D297353CC}">
                  <c16:uniqueId val="{00000001-CC3A-40F6-A8C0-0A14F154C36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design'!$A$149:$A$152</c:f>
              <c:strCache>
                <c:ptCount val="4"/>
                <c:pt idx="0">
                  <c:v>Grocery Store</c:v>
                </c:pt>
                <c:pt idx="1">
                  <c:v>Supermarket Type1</c:v>
                </c:pt>
                <c:pt idx="2">
                  <c:v>Supermarket Type2</c:v>
                </c:pt>
                <c:pt idx="3">
                  <c:v>Supermarket Type3</c:v>
                </c:pt>
              </c:strCache>
            </c:strRef>
          </c:cat>
          <c:val>
            <c:numRef>
              <c:f>'sheets design'!$B$149:$B$152</c:f>
              <c:numCache>
                <c:formatCode>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CC3A-40F6-A8C0-0A14F154C364}"/>
            </c:ext>
          </c:extLst>
        </c:ser>
        <c:dLbls>
          <c:showLegendKey val="0"/>
          <c:showVal val="0"/>
          <c:showCatName val="0"/>
          <c:showSerName val="0"/>
          <c:showPercent val="0"/>
          <c:showBubbleSize val="0"/>
        </c:dLbls>
        <c:gapWidth val="60"/>
        <c:axId val="886684592"/>
        <c:axId val="886685072"/>
      </c:barChart>
      <c:catAx>
        <c:axId val="886684592"/>
        <c:scaling>
          <c:orientation val="minMax"/>
        </c:scaling>
        <c:delete val="1"/>
        <c:axPos val="l"/>
        <c:numFmt formatCode="General" sourceLinked="1"/>
        <c:majorTickMark val="none"/>
        <c:minorTickMark val="none"/>
        <c:tickLblPos val="nextTo"/>
        <c:crossAx val="886685072"/>
        <c:crosses val="autoZero"/>
        <c:auto val="1"/>
        <c:lblAlgn val="ctr"/>
        <c:lblOffset val="100"/>
        <c:noMultiLvlLbl val="0"/>
      </c:catAx>
      <c:valAx>
        <c:axId val="886685072"/>
        <c:scaling>
          <c:orientation val="minMax"/>
        </c:scaling>
        <c:delete val="1"/>
        <c:axPos val="b"/>
        <c:numFmt formatCode="0.0" sourceLinked="1"/>
        <c:majorTickMark val="none"/>
        <c:minorTickMark val="none"/>
        <c:tickLblPos val="nextTo"/>
        <c:crossAx val="88668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11D799F-99D7-450E-9F6D-337BCE585A4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ln>
              <a:noFill/>
            </a:ln>
          </cx:spPr>
        </cx:plotSurface>
        <cx:series layoutId="funnel" uniqueId="{E11D799F-99D7-450E-9F6D-337BCE585A45}">
          <cx:tx>
            <cx:txData>
              <cx:f>_xlchart.v2.4</cx:f>
              <cx:v>sales</cx:v>
            </cx:txData>
          </cx:tx>
          <cx:dataPt idx="0">
            <cx:spPr>
              <a:solidFill>
                <a:srgbClr val="D09E00"/>
              </a:solidFill>
            </cx:spPr>
          </cx:dataPt>
          <cx:dataPt idx="1">
            <cx:spPr>
              <a:solidFill>
                <a:srgbClr val="70AD47">
                  <a:lumMod val="50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330000013"/>
        <cx:tickLabels/>
        <cx:txPr>
          <a:bodyPr spcFirstLastPara="1" vertOverflow="ellipsis" horzOverflow="overflow" wrap="square" lIns="0" tIns="0" rIns="0" bIns="0" anchor="ctr" anchorCtr="1"/>
          <a:lstStyle/>
          <a:p>
            <a:pPr algn="ctr" rtl="0">
              <a:defRPr sz="10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image" Target="../media/image2.png"/><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2.xml"/><Relationship Id="rId11" Type="http://schemas.openxmlformats.org/officeDocument/2006/relationships/hyperlink" Target="#'BlinkIT Grocery Data'!A1"/><Relationship Id="rId5" Type="http://schemas.openxmlformats.org/officeDocument/2006/relationships/chart" Target="../charts/chart12.xml"/><Relationship Id="rId10" Type="http://schemas.openxmlformats.org/officeDocument/2006/relationships/image" Target="../media/image1.png"/><Relationship Id="rId4" Type="http://schemas.openxmlformats.org/officeDocument/2006/relationships/chart" Target="../charts/chart11.xml"/><Relationship Id="rId9"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7</xdr:col>
      <xdr:colOff>161270</xdr:colOff>
      <xdr:row>91</xdr:row>
      <xdr:rowOff>187753</xdr:rowOff>
    </xdr:from>
    <xdr:to>
      <xdr:col>9</xdr:col>
      <xdr:colOff>652947</xdr:colOff>
      <xdr:row>98</xdr:row>
      <xdr:rowOff>96313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B8019CA-AF02-4AAD-1F5C-88538C3E064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857532" y="18375819"/>
              <a:ext cx="1840792" cy="1307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112425</xdr:colOff>
      <xdr:row>15</xdr:row>
      <xdr:rowOff>189876</xdr:rowOff>
    </xdr:from>
    <xdr:to>
      <xdr:col>4</xdr:col>
      <xdr:colOff>599607</xdr:colOff>
      <xdr:row>23</xdr:row>
      <xdr:rowOff>74952</xdr:rowOff>
    </xdr:to>
    <xdr:graphicFrame macro="">
      <xdr:nvGraphicFramePr>
        <xdr:cNvPr id="4" name="Chart 3">
          <a:extLst>
            <a:ext uri="{FF2B5EF4-FFF2-40B4-BE49-F238E27FC236}">
              <a16:creationId xmlns:a16="http://schemas.microsoft.com/office/drawing/2014/main" id="{02A06CAB-136F-E1C9-D34C-298CEBFBA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43722</xdr:colOff>
      <xdr:row>28</xdr:row>
      <xdr:rowOff>183629</xdr:rowOff>
    </xdr:from>
    <xdr:to>
      <xdr:col>9</xdr:col>
      <xdr:colOff>212361</xdr:colOff>
      <xdr:row>40</xdr:row>
      <xdr:rowOff>99935</xdr:rowOff>
    </xdr:to>
    <xdr:graphicFrame macro="">
      <xdr:nvGraphicFramePr>
        <xdr:cNvPr id="3" name="Chart 2">
          <a:extLst>
            <a:ext uri="{FF2B5EF4-FFF2-40B4-BE49-F238E27FC236}">
              <a16:creationId xmlns:a16="http://schemas.microsoft.com/office/drawing/2014/main" id="{DFAFF716-3E2C-8B40-7BBB-045AEB0BE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56213</xdr:colOff>
      <xdr:row>47</xdr:row>
      <xdr:rowOff>162394</xdr:rowOff>
    </xdr:from>
    <xdr:to>
      <xdr:col>9</xdr:col>
      <xdr:colOff>499672</xdr:colOff>
      <xdr:row>66</xdr:row>
      <xdr:rowOff>112426</xdr:rowOff>
    </xdr:to>
    <xdr:graphicFrame macro="">
      <xdr:nvGraphicFramePr>
        <xdr:cNvPr id="5" name="Chart 4">
          <a:extLst>
            <a:ext uri="{FF2B5EF4-FFF2-40B4-BE49-F238E27FC236}">
              <a16:creationId xmlns:a16="http://schemas.microsoft.com/office/drawing/2014/main" id="{301196A8-7BCE-0E13-B38C-823773D5A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162392</xdr:colOff>
      <xdr:row>70</xdr:row>
      <xdr:rowOff>189876</xdr:rowOff>
    </xdr:from>
    <xdr:to>
      <xdr:col>5</xdr:col>
      <xdr:colOff>455950</xdr:colOff>
      <xdr:row>84</xdr:row>
      <xdr:rowOff>134912</xdr:rowOff>
    </xdr:to>
    <xdr:graphicFrame macro="">
      <xdr:nvGraphicFramePr>
        <xdr:cNvPr id="6" name="Chart 5">
          <a:extLst>
            <a:ext uri="{FF2B5EF4-FFF2-40B4-BE49-F238E27FC236}">
              <a16:creationId xmlns:a16="http://schemas.microsoft.com/office/drawing/2014/main" id="{B5AD4E5C-4C2B-8293-AA58-83617F5B9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93688</xdr:colOff>
      <xdr:row>91</xdr:row>
      <xdr:rowOff>14989</xdr:rowOff>
    </xdr:from>
    <xdr:to>
      <xdr:col>4</xdr:col>
      <xdr:colOff>412230</xdr:colOff>
      <xdr:row>101</xdr:row>
      <xdr:rowOff>99934</xdr:rowOff>
    </xdr:to>
    <xdr:graphicFrame macro="">
      <xdr:nvGraphicFramePr>
        <xdr:cNvPr id="7" name="Chart 6">
          <a:extLst>
            <a:ext uri="{FF2B5EF4-FFF2-40B4-BE49-F238E27FC236}">
              <a16:creationId xmlns:a16="http://schemas.microsoft.com/office/drawing/2014/main" id="{369ED096-0AC1-5BAD-F8DF-DCD315FFA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49966</xdr:colOff>
      <xdr:row>111</xdr:row>
      <xdr:rowOff>71202</xdr:rowOff>
    </xdr:from>
    <xdr:to>
      <xdr:col>2</xdr:col>
      <xdr:colOff>1998687</xdr:colOff>
      <xdr:row>121</xdr:row>
      <xdr:rowOff>62459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27B6617-5903-406B-F417-7060D30BD5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78666" y="22352082"/>
              <a:ext cx="1392461" cy="19724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18738</xdr:colOff>
      <xdr:row>126</xdr:row>
      <xdr:rowOff>102434</xdr:rowOff>
    </xdr:from>
    <xdr:to>
      <xdr:col>5</xdr:col>
      <xdr:colOff>455951</xdr:colOff>
      <xdr:row>140</xdr:row>
      <xdr:rowOff>47470</xdr:rowOff>
    </xdr:to>
    <xdr:graphicFrame macro="">
      <xdr:nvGraphicFramePr>
        <xdr:cNvPr id="9" name="Chart 8">
          <a:extLst>
            <a:ext uri="{FF2B5EF4-FFF2-40B4-BE49-F238E27FC236}">
              <a16:creationId xmlns:a16="http://schemas.microsoft.com/office/drawing/2014/main" id="{5E25D790-B01D-02E1-E428-75AA85757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18737</xdr:colOff>
      <xdr:row>147</xdr:row>
      <xdr:rowOff>189877</xdr:rowOff>
    </xdr:from>
    <xdr:to>
      <xdr:col>5</xdr:col>
      <xdr:colOff>455950</xdr:colOff>
      <xdr:row>161</xdr:row>
      <xdr:rowOff>134913</xdr:rowOff>
    </xdr:to>
    <xdr:graphicFrame macro="">
      <xdr:nvGraphicFramePr>
        <xdr:cNvPr id="10" name="Chart 9">
          <a:extLst>
            <a:ext uri="{FF2B5EF4-FFF2-40B4-BE49-F238E27FC236}">
              <a16:creationId xmlns:a16="http://schemas.microsoft.com/office/drawing/2014/main" id="{7791B1AF-DBC3-02FC-2454-B53C09952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156397</xdr:colOff>
      <xdr:row>91</xdr:row>
      <xdr:rowOff>169513</xdr:rowOff>
    </xdr:from>
    <xdr:to>
      <xdr:col>12</xdr:col>
      <xdr:colOff>636082</xdr:colOff>
      <xdr:row>105</xdr:row>
      <xdr:rowOff>66924</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669DF6BB-276C-805F-0681-E22AE7ABF09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876331" y="1835757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181380</xdr:colOff>
      <xdr:row>99</xdr:row>
      <xdr:rowOff>57089</xdr:rowOff>
    </xdr:from>
    <xdr:to>
      <xdr:col>9</xdr:col>
      <xdr:colOff>661065</xdr:colOff>
      <xdr:row>105</xdr:row>
      <xdr:rowOff>124919</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FB3B3BE7-C343-4076-9253-7629CEDD1B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877642" y="19844105"/>
              <a:ext cx="1828800" cy="1267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0</xdr:row>
      <xdr:rowOff>167640</xdr:rowOff>
    </xdr:from>
    <xdr:to>
      <xdr:col>23</xdr:col>
      <xdr:colOff>22920</xdr:colOff>
      <xdr:row>40</xdr:row>
      <xdr:rowOff>80040</xdr:rowOff>
    </xdr:to>
    <xdr:sp macro="" textlink="">
      <xdr:nvSpPr>
        <xdr:cNvPr id="2" name="Rectangle 1">
          <a:extLst>
            <a:ext uri="{FF2B5EF4-FFF2-40B4-BE49-F238E27FC236}">
              <a16:creationId xmlns:a16="http://schemas.microsoft.com/office/drawing/2014/main" id="{50AC9612-CDDF-611C-2BDF-3412B4E5B719}"/>
            </a:ext>
          </a:extLst>
        </xdr:cNvPr>
        <xdr:cNvSpPr/>
      </xdr:nvSpPr>
      <xdr:spPr>
        <a:xfrm>
          <a:off x="685800" y="167640"/>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104309</xdr:colOff>
      <xdr:row>1</xdr:row>
      <xdr:rowOff>66779</xdr:rowOff>
    </xdr:from>
    <xdr:to>
      <xdr:col>4</xdr:col>
      <xdr:colOff>620486</xdr:colOff>
      <xdr:row>39</xdr:row>
      <xdr:rowOff>119747</xdr:rowOff>
    </xdr:to>
    <xdr:sp macro="" textlink="">
      <xdr:nvSpPr>
        <xdr:cNvPr id="4" name="Rectangle: Top Corners Rounded 3">
          <a:extLst>
            <a:ext uri="{FF2B5EF4-FFF2-40B4-BE49-F238E27FC236}">
              <a16:creationId xmlns:a16="http://schemas.microsoft.com/office/drawing/2014/main" id="{8B198C44-1C3C-57BB-790C-4BB92A0B40FD}"/>
            </a:ext>
          </a:extLst>
        </xdr:cNvPr>
        <xdr:cNvSpPr/>
      </xdr:nvSpPr>
      <xdr:spPr>
        <a:xfrm rot="5400000">
          <a:off x="-1699715" y="2741660"/>
          <a:ext cx="7498796" cy="254092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127000</xdr:colOff>
      <xdr:row>1</xdr:row>
      <xdr:rowOff>88900</xdr:rowOff>
    </xdr:from>
    <xdr:to>
      <xdr:col>4</xdr:col>
      <xdr:colOff>241300</xdr:colOff>
      <xdr:row>4</xdr:row>
      <xdr:rowOff>190500</xdr:rowOff>
    </xdr:to>
    <xdr:sp macro="" textlink="">
      <xdr:nvSpPr>
        <xdr:cNvPr id="5" name="TextBox 4">
          <a:extLst>
            <a:ext uri="{FF2B5EF4-FFF2-40B4-BE49-F238E27FC236}">
              <a16:creationId xmlns:a16="http://schemas.microsoft.com/office/drawing/2014/main" id="{2EB84396-B188-9C2B-9804-D66D6DE2376B}"/>
            </a:ext>
          </a:extLst>
        </xdr:cNvPr>
        <xdr:cNvSpPr txBox="1"/>
      </xdr:nvSpPr>
      <xdr:spPr>
        <a:xfrm>
          <a:off x="800100" y="292100"/>
          <a:ext cx="213360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blinkit</a:t>
          </a:r>
        </a:p>
      </xdr:txBody>
    </xdr:sp>
    <xdr:clientData/>
  </xdr:twoCellAnchor>
  <xdr:twoCellAnchor>
    <xdr:from>
      <xdr:col>1</xdr:col>
      <xdr:colOff>396765</xdr:colOff>
      <xdr:row>3</xdr:row>
      <xdr:rowOff>192690</xdr:rowOff>
    </xdr:from>
    <xdr:to>
      <xdr:col>4</xdr:col>
      <xdr:colOff>70068</xdr:colOff>
      <xdr:row>5</xdr:row>
      <xdr:rowOff>122622</xdr:rowOff>
    </xdr:to>
    <xdr:sp macro="" textlink="">
      <xdr:nvSpPr>
        <xdr:cNvPr id="6" name="TextBox 5">
          <a:extLst>
            <a:ext uri="{FF2B5EF4-FFF2-40B4-BE49-F238E27FC236}">
              <a16:creationId xmlns:a16="http://schemas.microsoft.com/office/drawing/2014/main" id="{89A5D9BE-1CA7-4DFB-9856-FFA6BB3DEBC9}"/>
            </a:ext>
          </a:extLst>
        </xdr:cNvPr>
        <xdr:cNvSpPr txBox="1"/>
      </xdr:nvSpPr>
      <xdr:spPr>
        <a:xfrm>
          <a:off x="1071179" y="797035"/>
          <a:ext cx="1696544" cy="332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India's</a:t>
          </a:r>
          <a:r>
            <a:rPr lang="en-IN" sz="1100" b="1" baseline="0"/>
            <a:t> Last </a:t>
          </a:r>
          <a:r>
            <a:rPr lang="en-IN" sz="1200" b="1" baseline="0"/>
            <a:t>Minute</a:t>
          </a:r>
          <a:r>
            <a:rPr lang="en-IN" sz="1100" baseline="0"/>
            <a:t> </a:t>
          </a:r>
          <a:r>
            <a:rPr lang="en-IN" sz="1200" b="1" baseline="0">
              <a:latin typeface="Aptos Display" panose="020B0004020202020204" pitchFamily="34" charset="0"/>
            </a:rPr>
            <a:t>App</a:t>
          </a:r>
          <a:endParaRPr lang="en-IN" sz="1200" b="1">
            <a:latin typeface="Aptos Display" panose="020B0004020202020204" pitchFamily="34" charset="0"/>
          </a:endParaRPr>
        </a:p>
      </xdr:txBody>
    </xdr:sp>
    <xdr:clientData/>
  </xdr:twoCellAnchor>
  <xdr:twoCellAnchor>
    <xdr:from>
      <xdr:col>5</xdr:col>
      <xdr:colOff>22410</xdr:colOff>
      <xdr:row>1</xdr:row>
      <xdr:rowOff>112058</xdr:rowOff>
    </xdr:from>
    <xdr:to>
      <xdr:col>9</xdr:col>
      <xdr:colOff>68999</xdr:colOff>
      <xdr:row>6</xdr:row>
      <xdr:rowOff>151129</xdr:rowOff>
    </xdr:to>
    <xdr:sp macro="" textlink="">
      <xdr:nvSpPr>
        <xdr:cNvPr id="8" name="Rectangle: Rounded Corners 7">
          <a:extLst>
            <a:ext uri="{FF2B5EF4-FFF2-40B4-BE49-F238E27FC236}">
              <a16:creationId xmlns:a16="http://schemas.microsoft.com/office/drawing/2014/main" id="{C1A9021E-3BB9-40D0-AA21-5FF62ABD0D1B}"/>
            </a:ext>
          </a:extLst>
        </xdr:cNvPr>
        <xdr:cNvSpPr/>
      </xdr:nvSpPr>
      <xdr:spPr>
        <a:xfrm>
          <a:off x="3384175" y="313764"/>
          <a:ext cx="2736000" cy="1047600"/>
        </a:xfrm>
        <a:prstGeom prst="roundRect">
          <a:avLst/>
        </a:prstGeom>
        <a:gradFill>
          <a:gsLst>
            <a:gs pos="0">
              <a:srgbClr val="FFD200">
                <a:alpha val="60000"/>
              </a:srgbClr>
            </a:gs>
            <a:gs pos="45000">
              <a:schemeClr val="accent6">
                <a:lumMod val="75000"/>
                <a:alpha val="45000"/>
              </a:schemeClr>
            </a:gs>
            <a:gs pos="98000">
              <a:schemeClr val="accent6">
                <a:lumMod val="50000"/>
                <a:alpha val="50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212912</xdr:colOff>
      <xdr:row>1</xdr:row>
      <xdr:rowOff>112060</xdr:rowOff>
    </xdr:from>
    <xdr:to>
      <xdr:col>13</xdr:col>
      <xdr:colOff>259500</xdr:colOff>
      <xdr:row>6</xdr:row>
      <xdr:rowOff>151131</xdr:rowOff>
    </xdr:to>
    <xdr:sp macro="" textlink="">
      <xdr:nvSpPr>
        <xdr:cNvPr id="9" name="Rectangle: Rounded Corners 8">
          <a:extLst>
            <a:ext uri="{FF2B5EF4-FFF2-40B4-BE49-F238E27FC236}">
              <a16:creationId xmlns:a16="http://schemas.microsoft.com/office/drawing/2014/main" id="{9D696346-1CA9-485C-8E3C-A6891C5BB9C2}"/>
            </a:ext>
          </a:extLst>
        </xdr:cNvPr>
        <xdr:cNvSpPr/>
      </xdr:nvSpPr>
      <xdr:spPr>
        <a:xfrm>
          <a:off x="6264088" y="313766"/>
          <a:ext cx="2736000" cy="1047600"/>
        </a:xfrm>
        <a:prstGeom prst="roundRect">
          <a:avLst/>
        </a:prstGeom>
        <a:gradFill>
          <a:gsLst>
            <a:gs pos="0">
              <a:srgbClr val="FFD200">
                <a:alpha val="60000"/>
              </a:srgbClr>
            </a:gs>
            <a:gs pos="45000">
              <a:schemeClr val="accent6">
                <a:lumMod val="75000"/>
                <a:alpha val="45000"/>
              </a:schemeClr>
            </a:gs>
            <a:gs pos="98000">
              <a:schemeClr val="accent6">
                <a:lumMod val="50000"/>
                <a:alpha val="50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44824</xdr:colOff>
      <xdr:row>7</xdr:row>
      <xdr:rowOff>123265</xdr:rowOff>
    </xdr:from>
    <xdr:to>
      <xdr:col>9</xdr:col>
      <xdr:colOff>91413</xdr:colOff>
      <xdr:row>12</xdr:row>
      <xdr:rowOff>162335</xdr:rowOff>
    </xdr:to>
    <xdr:sp macro="" textlink="">
      <xdr:nvSpPr>
        <xdr:cNvPr id="11" name="Rectangle: Rounded Corners 10">
          <a:extLst>
            <a:ext uri="{FF2B5EF4-FFF2-40B4-BE49-F238E27FC236}">
              <a16:creationId xmlns:a16="http://schemas.microsoft.com/office/drawing/2014/main" id="{E660F8CB-9403-4099-B61C-64D830C77354}"/>
            </a:ext>
          </a:extLst>
        </xdr:cNvPr>
        <xdr:cNvSpPr/>
      </xdr:nvSpPr>
      <xdr:spPr>
        <a:xfrm>
          <a:off x="3406589" y="1535206"/>
          <a:ext cx="2736000" cy="1047600"/>
        </a:xfrm>
        <a:prstGeom prst="roundRect">
          <a:avLst/>
        </a:prstGeom>
        <a:gradFill>
          <a:gsLst>
            <a:gs pos="0">
              <a:srgbClr val="FFD200">
                <a:alpha val="60000"/>
              </a:srgbClr>
            </a:gs>
            <a:gs pos="45000">
              <a:schemeClr val="accent6">
                <a:lumMod val="75000"/>
                <a:alpha val="45000"/>
              </a:schemeClr>
            </a:gs>
            <a:gs pos="98000">
              <a:schemeClr val="accent6">
                <a:lumMod val="50000"/>
                <a:alpha val="50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268941</xdr:colOff>
      <xdr:row>7</xdr:row>
      <xdr:rowOff>112058</xdr:rowOff>
    </xdr:from>
    <xdr:to>
      <xdr:col>13</xdr:col>
      <xdr:colOff>315529</xdr:colOff>
      <xdr:row>12</xdr:row>
      <xdr:rowOff>151128</xdr:rowOff>
    </xdr:to>
    <xdr:sp macro="" textlink="">
      <xdr:nvSpPr>
        <xdr:cNvPr id="12" name="Rectangle: Rounded Corners 11">
          <a:extLst>
            <a:ext uri="{FF2B5EF4-FFF2-40B4-BE49-F238E27FC236}">
              <a16:creationId xmlns:a16="http://schemas.microsoft.com/office/drawing/2014/main" id="{F4FA8E9D-A60F-470E-BB80-53E38F81D25A}"/>
            </a:ext>
          </a:extLst>
        </xdr:cNvPr>
        <xdr:cNvSpPr/>
      </xdr:nvSpPr>
      <xdr:spPr>
        <a:xfrm>
          <a:off x="6320117" y="1523999"/>
          <a:ext cx="2736000" cy="1047600"/>
        </a:xfrm>
        <a:prstGeom prst="roundRect">
          <a:avLst/>
        </a:prstGeom>
        <a:gradFill>
          <a:gsLst>
            <a:gs pos="0">
              <a:srgbClr val="FFD200">
                <a:alpha val="60000"/>
              </a:srgbClr>
            </a:gs>
            <a:gs pos="45000">
              <a:schemeClr val="accent6">
                <a:lumMod val="75000"/>
                <a:alpha val="45000"/>
              </a:schemeClr>
            </a:gs>
            <a:gs pos="98000">
              <a:schemeClr val="accent6">
                <a:lumMod val="50000"/>
                <a:alpha val="50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481854</xdr:colOff>
      <xdr:row>2</xdr:row>
      <xdr:rowOff>100854</xdr:rowOff>
    </xdr:from>
    <xdr:to>
      <xdr:col>7</xdr:col>
      <xdr:colOff>425824</xdr:colOff>
      <xdr:row>5</xdr:row>
      <xdr:rowOff>33619</xdr:rowOff>
    </xdr:to>
    <xdr:sp macro="" textlink="'sheets design'!$A$9">
      <xdr:nvSpPr>
        <xdr:cNvPr id="7" name="TextBox 6">
          <a:extLst>
            <a:ext uri="{FF2B5EF4-FFF2-40B4-BE49-F238E27FC236}">
              <a16:creationId xmlns:a16="http://schemas.microsoft.com/office/drawing/2014/main" id="{E1C3A730-1414-6601-D12C-9457F73A601C}"/>
            </a:ext>
          </a:extLst>
        </xdr:cNvPr>
        <xdr:cNvSpPr txBox="1"/>
      </xdr:nvSpPr>
      <xdr:spPr>
        <a:xfrm>
          <a:off x="3843619" y="504266"/>
          <a:ext cx="1288676"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CC5D9E-1973-4B07-9BBB-D9AAE1931C3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374302</xdr:colOff>
      <xdr:row>6</xdr:row>
      <xdr:rowOff>77874</xdr:rowOff>
    </xdr:from>
    <xdr:to>
      <xdr:col>4</xdr:col>
      <xdr:colOff>190180</xdr:colOff>
      <xdr:row>12</xdr:row>
      <xdr:rowOff>182550</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74D38A04-5E4D-4501-8537-BE21FE9F24F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49216" y="1253531"/>
              <a:ext cx="1840621" cy="1280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616322</xdr:colOff>
      <xdr:row>3</xdr:row>
      <xdr:rowOff>100854</xdr:rowOff>
    </xdr:from>
    <xdr:to>
      <xdr:col>7</xdr:col>
      <xdr:colOff>470645</xdr:colOff>
      <xdr:row>6</xdr:row>
      <xdr:rowOff>56031</xdr:rowOff>
    </xdr:to>
    <xdr:sp macro="" textlink="">
      <xdr:nvSpPr>
        <xdr:cNvPr id="14" name="TextBox 13">
          <a:extLst>
            <a:ext uri="{FF2B5EF4-FFF2-40B4-BE49-F238E27FC236}">
              <a16:creationId xmlns:a16="http://schemas.microsoft.com/office/drawing/2014/main" id="{519A83A4-DD18-0E5F-7A56-22FD0B3A88B4}"/>
            </a:ext>
          </a:extLst>
        </xdr:cNvPr>
        <xdr:cNvSpPr txBox="1"/>
      </xdr:nvSpPr>
      <xdr:spPr>
        <a:xfrm>
          <a:off x="3978087" y="705972"/>
          <a:ext cx="1199029" cy="56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dk1"/>
              </a:solidFill>
              <a:effectLst/>
              <a:latin typeface="Segoe UI Semibold" panose="020B0702040204020203" pitchFamily="34" charset="0"/>
              <a:ea typeface="+mn-ea"/>
              <a:cs typeface="Segoe UI Semibold" panose="020B0702040204020203" pitchFamily="34" charset="0"/>
            </a:rPr>
            <a:t>TOTAL SALES</a:t>
          </a:r>
          <a:endParaRPr lang="en-IN" sz="1200">
            <a:effectLst/>
            <a:latin typeface="Segoe UI Semibold" panose="020B0702040204020203" pitchFamily="34" charset="0"/>
            <a:cs typeface="Segoe UI Semibold" panose="020B0702040204020203" pitchFamily="34" charset="0"/>
          </a:endParaRPr>
        </a:p>
      </xdr:txBody>
    </xdr:sp>
    <xdr:clientData/>
  </xdr:twoCellAnchor>
  <xdr:twoCellAnchor>
    <xdr:from>
      <xdr:col>10</xdr:col>
      <xdr:colOff>145677</xdr:colOff>
      <xdr:row>2</xdr:row>
      <xdr:rowOff>67236</xdr:rowOff>
    </xdr:from>
    <xdr:to>
      <xdr:col>12</xdr:col>
      <xdr:colOff>89647</xdr:colOff>
      <xdr:row>5</xdr:row>
      <xdr:rowOff>1</xdr:rowOff>
    </xdr:to>
    <xdr:sp macro="" textlink="'sheets design'!B9">
      <xdr:nvSpPr>
        <xdr:cNvPr id="15" name="TextBox 14">
          <a:extLst>
            <a:ext uri="{FF2B5EF4-FFF2-40B4-BE49-F238E27FC236}">
              <a16:creationId xmlns:a16="http://schemas.microsoft.com/office/drawing/2014/main" id="{50E76780-3C94-4148-8A73-5905EB5E150B}"/>
            </a:ext>
          </a:extLst>
        </xdr:cNvPr>
        <xdr:cNvSpPr txBox="1"/>
      </xdr:nvSpPr>
      <xdr:spPr>
        <a:xfrm>
          <a:off x="6869206" y="470648"/>
          <a:ext cx="1288676"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16B9E1-C777-44D6-95AA-B5A35029CAD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324972</xdr:colOff>
      <xdr:row>4</xdr:row>
      <xdr:rowOff>33618</xdr:rowOff>
    </xdr:from>
    <xdr:to>
      <xdr:col>12</xdr:col>
      <xdr:colOff>123266</xdr:colOff>
      <xdr:row>6</xdr:row>
      <xdr:rowOff>1</xdr:rowOff>
    </xdr:to>
    <xdr:sp macro="" textlink="">
      <xdr:nvSpPr>
        <xdr:cNvPr id="19" name="TextBox 18">
          <a:extLst>
            <a:ext uri="{FF2B5EF4-FFF2-40B4-BE49-F238E27FC236}">
              <a16:creationId xmlns:a16="http://schemas.microsoft.com/office/drawing/2014/main" id="{28F8D1C0-096F-9189-C650-28F467309B4D}"/>
            </a:ext>
          </a:extLst>
        </xdr:cNvPr>
        <xdr:cNvSpPr txBox="1"/>
      </xdr:nvSpPr>
      <xdr:spPr>
        <a:xfrm>
          <a:off x="7048501" y="840442"/>
          <a:ext cx="1143000"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a:t>
          </a:r>
          <a:r>
            <a:rPr lang="en-IN" sz="1200"/>
            <a:t> </a:t>
          </a:r>
          <a:r>
            <a:rPr lang="en-IN" sz="1200">
              <a:latin typeface="Segoe UI Semibold" panose="020B0702040204020203" pitchFamily="34" charset="0"/>
              <a:cs typeface="Segoe UI Semibold" panose="020B0702040204020203" pitchFamily="34" charset="0"/>
            </a:rPr>
            <a:t>SALES</a:t>
          </a:r>
        </a:p>
      </xdr:txBody>
    </xdr:sp>
    <xdr:clientData/>
  </xdr:twoCellAnchor>
  <xdr:twoCellAnchor>
    <xdr:from>
      <xdr:col>5</xdr:col>
      <xdr:colOff>504265</xdr:colOff>
      <xdr:row>8</xdr:row>
      <xdr:rowOff>100852</xdr:rowOff>
    </xdr:from>
    <xdr:to>
      <xdr:col>7</xdr:col>
      <xdr:colOff>448235</xdr:colOff>
      <xdr:row>11</xdr:row>
      <xdr:rowOff>33616</xdr:rowOff>
    </xdr:to>
    <xdr:sp macro="" textlink="'sheets design'!C9">
      <xdr:nvSpPr>
        <xdr:cNvPr id="20" name="TextBox 19">
          <a:extLst>
            <a:ext uri="{FF2B5EF4-FFF2-40B4-BE49-F238E27FC236}">
              <a16:creationId xmlns:a16="http://schemas.microsoft.com/office/drawing/2014/main" id="{E8BCB782-2CC3-49DF-9173-2DF3D216FC09}"/>
            </a:ext>
          </a:extLst>
        </xdr:cNvPr>
        <xdr:cNvSpPr txBox="1"/>
      </xdr:nvSpPr>
      <xdr:spPr>
        <a:xfrm>
          <a:off x="3866030" y="1714499"/>
          <a:ext cx="1288676"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D9C570-02C8-4DDD-8883-44DF0F69191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123264</xdr:colOff>
      <xdr:row>8</xdr:row>
      <xdr:rowOff>22411</xdr:rowOff>
    </xdr:from>
    <xdr:to>
      <xdr:col>12</xdr:col>
      <xdr:colOff>67234</xdr:colOff>
      <xdr:row>10</xdr:row>
      <xdr:rowOff>156881</xdr:rowOff>
    </xdr:to>
    <xdr:sp macro="" textlink="'sheets design'!D9">
      <xdr:nvSpPr>
        <xdr:cNvPr id="21" name="TextBox 20">
          <a:extLst>
            <a:ext uri="{FF2B5EF4-FFF2-40B4-BE49-F238E27FC236}">
              <a16:creationId xmlns:a16="http://schemas.microsoft.com/office/drawing/2014/main" id="{B752430A-3C52-4F5A-BE9C-0ECD91036559}"/>
            </a:ext>
          </a:extLst>
        </xdr:cNvPr>
        <xdr:cNvSpPr txBox="1"/>
      </xdr:nvSpPr>
      <xdr:spPr>
        <a:xfrm>
          <a:off x="6846793" y="1636058"/>
          <a:ext cx="1288676"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9DAD0B-8E99-447F-A894-186E4793FA4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649941</xdr:colOff>
      <xdr:row>10</xdr:row>
      <xdr:rowOff>44823</xdr:rowOff>
    </xdr:from>
    <xdr:to>
      <xdr:col>7</xdr:col>
      <xdr:colOff>392205</xdr:colOff>
      <xdr:row>12</xdr:row>
      <xdr:rowOff>112058</xdr:rowOff>
    </xdr:to>
    <xdr:sp macro="" textlink="">
      <xdr:nvSpPr>
        <xdr:cNvPr id="22" name="TextBox 21">
          <a:extLst>
            <a:ext uri="{FF2B5EF4-FFF2-40B4-BE49-F238E27FC236}">
              <a16:creationId xmlns:a16="http://schemas.microsoft.com/office/drawing/2014/main" id="{71620E1C-B2D4-3F5F-464B-98CEA36176A4}"/>
            </a:ext>
          </a:extLst>
        </xdr:cNvPr>
        <xdr:cNvSpPr txBox="1"/>
      </xdr:nvSpPr>
      <xdr:spPr>
        <a:xfrm>
          <a:off x="4011706" y="2061882"/>
          <a:ext cx="1086970"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NO OF ITEM</a:t>
          </a:r>
        </a:p>
      </xdr:txBody>
    </xdr:sp>
    <xdr:clientData/>
  </xdr:twoCellAnchor>
  <xdr:oneCellAnchor>
    <xdr:from>
      <xdr:col>10</xdr:col>
      <xdr:colOff>224117</xdr:colOff>
      <xdr:row>9</xdr:row>
      <xdr:rowOff>168089</xdr:rowOff>
    </xdr:from>
    <xdr:ext cx="1090491" cy="297004"/>
    <xdr:sp macro="" textlink="">
      <xdr:nvSpPr>
        <xdr:cNvPr id="23" name="TextBox 22">
          <a:extLst>
            <a:ext uri="{FF2B5EF4-FFF2-40B4-BE49-F238E27FC236}">
              <a16:creationId xmlns:a16="http://schemas.microsoft.com/office/drawing/2014/main" id="{062688D0-2CEB-0E9C-89F5-B51620767360}"/>
            </a:ext>
          </a:extLst>
        </xdr:cNvPr>
        <xdr:cNvSpPr txBox="1"/>
      </xdr:nvSpPr>
      <xdr:spPr>
        <a:xfrm>
          <a:off x="6947646" y="1983442"/>
          <a:ext cx="109049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Segoe UI Semibold" panose="020B0702040204020203" pitchFamily="34" charset="0"/>
              <a:cs typeface="Segoe UI Semibold" panose="020B0702040204020203" pitchFamily="34" charset="0"/>
            </a:rPr>
            <a:t>AVG RATING</a:t>
          </a:r>
        </a:p>
      </xdr:txBody>
    </xdr:sp>
    <xdr:clientData/>
  </xdr:oneCellAnchor>
  <xdr:twoCellAnchor>
    <xdr:from>
      <xdr:col>5</xdr:col>
      <xdr:colOff>70339</xdr:colOff>
      <xdr:row>14</xdr:row>
      <xdr:rowOff>35169</xdr:rowOff>
    </xdr:from>
    <xdr:to>
      <xdr:col>13</xdr:col>
      <xdr:colOff>339969</xdr:colOff>
      <xdr:row>39</xdr:row>
      <xdr:rowOff>93785</xdr:rowOff>
    </xdr:to>
    <xdr:sp macro="" textlink="">
      <xdr:nvSpPr>
        <xdr:cNvPr id="24" name="Rectangle: Rounded Corners 23">
          <a:extLst>
            <a:ext uri="{FF2B5EF4-FFF2-40B4-BE49-F238E27FC236}">
              <a16:creationId xmlns:a16="http://schemas.microsoft.com/office/drawing/2014/main" id="{E6E25485-B0B0-4C79-B10F-FEEC0F9A6276}"/>
            </a:ext>
          </a:extLst>
        </xdr:cNvPr>
        <xdr:cNvSpPr/>
      </xdr:nvSpPr>
      <xdr:spPr>
        <a:xfrm>
          <a:off x="3411416" y="2825261"/>
          <a:ext cx="5615353" cy="5040924"/>
        </a:xfrm>
        <a:prstGeom prst="roundRect">
          <a:avLst/>
        </a:prstGeom>
        <a:solidFill>
          <a:srgbClr val="FAFAFA"/>
        </a:solidFill>
        <a:ln>
          <a:solidFill>
            <a:schemeClr val="lt1">
              <a:shade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cccc</a:t>
          </a:r>
        </a:p>
      </xdr:txBody>
    </xdr:sp>
    <xdr:clientData/>
  </xdr:twoCellAnchor>
  <xdr:twoCellAnchor>
    <xdr:from>
      <xdr:col>5</xdr:col>
      <xdr:colOff>300957</xdr:colOff>
      <xdr:row>15</xdr:row>
      <xdr:rowOff>114541</xdr:rowOff>
    </xdr:from>
    <xdr:to>
      <xdr:col>8</xdr:col>
      <xdr:colOff>587114</xdr:colOff>
      <xdr:row>25</xdr:row>
      <xdr:rowOff>187378</xdr:rowOff>
    </xdr:to>
    <xdr:graphicFrame macro="">
      <xdr:nvGraphicFramePr>
        <xdr:cNvPr id="3" name="Chart 2">
          <a:extLst>
            <a:ext uri="{FF2B5EF4-FFF2-40B4-BE49-F238E27FC236}">
              <a16:creationId xmlns:a16="http://schemas.microsoft.com/office/drawing/2014/main" id="{276C12A6-B0FF-42ED-956F-2B65FAF69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205154</xdr:colOff>
      <xdr:row>14</xdr:row>
      <xdr:rowOff>35169</xdr:rowOff>
    </xdr:from>
    <xdr:to>
      <xdr:col>9</xdr:col>
      <xdr:colOff>205154</xdr:colOff>
      <xdr:row>39</xdr:row>
      <xdr:rowOff>93785</xdr:rowOff>
    </xdr:to>
    <xdr:cxnSp macro="">
      <xdr:nvCxnSpPr>
        <xdr:cNvPr id="16" name="Straight Connector 15">
          <a:extLst>
            <a:ext uri="{FF2B5EF4-FFF2-40B4-BE49-F238E27FC236}">
              <a16:creationId xmlns:a16="http://schemas.microsoft.com/office/drawing/2014/main" id="{3667F134-6003-E575-4C4F-A34D36A2F2F3}"/>
            </a:ext>
          </a:extLst>
        </xdr:cNvPr>
        <xdr:cNvCxnSpPr>
          <a:stCxn id="24" idx="0"/>
          <a:endCxn id="24" idx="2"/>
        </xdr:cNvCxnSpPr>
      </xdr:nvCxnSpPr>
      <xdr:spPr>
        <a:xfrm>
          <a:off x="6205904" y="2892669"/>
          <a:ext cx="0" cy="516129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124767</xdr:colOff>
      <xdr:row>26</xdr:row>
      <xdr:rowOff>139316</xdr:rowOff>
    </xdr:from>
    <xdr:to>
      <xdr:col>9</xdr:col>
      <xdr:colOff>217714</xdr:colOff>
      <xdr:row>26</xdr:row>
      <xdr:rowOff>149678</xdr:rowOff>
    </xdr:to>
    <xdr:cxnSp macro="">
      <xdr:nvCxnSpPr>
        <xdr:cNvPr id="18" name="Straight Connector 17">
          <a:extLst>
            <a:ext uri="{FF2B5EF4-FFF2-40B4-BE49-F238E27FC236}">
              <a16:creationId xmlns:a16="http://schemas.microsoft.com/office/drawing/2014/main" id="{82EF8AE5-8ABD-4CFF-73BC-1025D0B85213}"/>
            </a:ext>
          </a:extLst>
        </xdr:cNvPr>
        <xdr:cNvCxnSpPr/>
      </xdr:nvCxnSpPr>
      <xdr:spPr>
        <a:xfrm>
          <a:off x="3458517" y="5446102"/>
          <a:ext cx="2759947" cy="10362"/>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299357</xdr:colOff>
      <xdr:row>27</xdr:row>
      <xdr:rowOff>68036</xdr:rowOff>
    </xdr:from>
    <xdr:to>
      <xdr:col>9</xdr:col>
      <xdr:colOff>68036</xdr:colOff>
      <xdr:row>38</xdr:row>
      <xdr:rowOff>68036</xdr:rowOff>
    </xdr:to>
    <xdr:graphicFrame macro="">
      <xdr:nvGraphicFramePr>
        <xdr:cNvPr id="27" name="Chart 26">
          <a:extLst>
            <a:ext uri="{FF2B5EF4-FFF2-40B4-BE49-F238E27FC236}">
              <a16:creationId xmlns:a16="http://schemas.microsoft.com/office/drawing/2014/main" id="{D3D0AC6D-0B19-48F0-BFB8-C42BC99DE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176893</xdr:colOff>
      <xdr:row>26</xdr:row>
      <xdr:rowOff>176893</xdr:rowOff>
    </xdr:from>
    <xdr:to>
      <xdr:col>7</xdr:col>
      <xdr:colOff>285751</xdr:colOff>
      <xdr:row>28</xdr:row>
      <xdr:rowOff>108857</xdr:rowOff>
    </xdr:to>
    <xdr:sp macro="" textlink="">
      <xdr:nvSpPr>
        <xdr:cNvPr id="28" name="TextBox 27">
          <a:extLst>
            <a:ext uri="{FF2B5EF4-FFF2-40B4-BE49-F238E27FC236}">
              <a16:creationId xmlns:a16="http://schemas.microsoft.com/office/drawing/2014/main" id="{25925404-A225-9244-E834-881CBE8E89F8}"/>
            </a:ext>
          </a:extLst>
        </xdr:cNvPr>
        <xdr:cNvSpPr txBox="1"/>
      </xdr:nvSpPr>
      <xdr:spPr>
        <a:xfrm>
          <a:off x="3510643" y="5483679"/>
          <a:ext cx="144235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cs typeface="Segoe UI Semibold" panose="020B0702040204020203" pitchFamily="34" charset="0"/>
            </a:rPr>
            <a:t>FAT</a:t>
          </a:r>
          <a:r>
            <a:rPr lang="en-IN" sz="1200" b="1" baseline="0">
              <a:latin typeface="Segoe UI Black" panose="020B0A02040204020203" pitchFamily="34" charset="0"/>
              <a:ea typeface="Segoe UI Black" panose="020B0A02040204020203" pitchFamily="34" charset="0"/>
              <a:cs typeface="Segoe UI Semibold" panose="020B0702040204020203" pitchFamily="34" charset="0"/>
            </a:rPr>
            <a:t> BY OUTLET</a:t>
          </a:r>
          <a:endParaRPr lang="en-IN" sz="12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536121</xdr:colOff>
      <xdr:row>14</xdr:row>
      <xdr:rowOff>76201</xdr:rowOff>
    </xdr:from>
    <xdr:to>
      <xdr:col>7</xdr:col>
      <xdr:colOff>454478</xdr:colOff>
      <xdr:row>15</xdr:row>
      <xdr:rowOff>185058</xdr:rowOff>
    </xdr:to>
    <xdr:sp macro="" textlink="">
      <xdr:nvSpPr>
        <xdr:cNvPr id="29" name="TextBox 28">
          <a:extLst>
            <a:ext uri="{FF2B5EF4-FFF2-40B4-BE49-F238E27FC236}">
              <a16:creationId xmlns:a16="http://schemas.microsoft.com/office/drawing/2014/main" id="{2353F05D-AD3E-449A-6847-899F71300B9C}"/>
            </a:ext>
          </a:extLst>
        </xdr:cNvPr>
        <xdr:cNvSpPr txBox="1"/>
      </xdr:nvSpPr>
      <xdr:spPr>
        <a:xfrm>
          <a:off x="3910692" y="2819401"/>
          <a:ext cx="126818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a:t>
          </a:r>
          <a:r>
            <a:rPr lang="en-IN" sz="1200">
              <a:latin typeface="Segoe UI Black" panose="020B0A02040204020203" pitchFamily="34" charset="0"/>
              <a:ea typeface="Segoe UI Black" panose="020B0A02040204020203" pitchFamily="34" charset="0"/>
            </a:rPr>
            <a:t>CONTENT</a:t>
          </a:r>
        </a:p>
      </xdr:txBody>
    </xdr:sp>
    <xdr:clientData/>
  </xdr:twoCellAnchor>
  <xdr:twoCellAnchor>
    <xdr:from>
      <xdr:col>9</xdr:col>
      <xdr:colOff>308989</xdr:colOff>
      <xdr:row>15</xdr:row>
      <xdr:rowOff>81642</xdr:rowOff>
    </xdr:from>
    <xdr:to>
      <xdr:col>13</xdr:col>
      <xdr:colOff>68037</xdr:colOff>
      <xdr:row>38</xdr:row>
      <xdr:rowOff>108857</xdr:rowOff>
    </xdr:to>
    <xdr:graphicFrame macro="">
      <xdr:nvGraphicFramePr>
        <xdr:cNvPr id="30" name="Chart 29">
          <a:extLst>
            <a:ext uri="{FF2B5EF4-FFF2-40B4-BE49-F238E27FC236}">
              <a16:creationId xmlns:a16="http://schemas.microsoft.com/office/drawing/2014/main" id="{B196821D-235E-4385-B586-9DBBE394B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557894</xdr:colOff>
      <xdr:row>1</xdr:row>
      <xdr:rowOff>190500</xdr:rowOff>
    </xdr:from>
    <xdr:to>
      <xdr:col>22</xdr:col>
      <xdr:colOff>557894</xdr:colOff>
      <xdr:row>39</xdr:row>
      <xdr:rowOff>163285</xdr:rowOff>
    </xdr:to>
    <xdr:sp macro="" textlink="">
      <xdr:nvSpPr>
        <xdr:cNvPr id="31" name="Rectangle: Rounded Corners 30">
          <a:extLst>
            <a:ext uri="{FF2B5EF4-FFF2-40B4-BE49-F238E27FC236}">
              <a16:creationId xmlns:a16="http://schemas.microsoft.com/office/drawing/2014/main" id="{0080DFCC-13FF-41B7-A018-B3E4EA825EEE}"/>
            </a:ext>
          </a:extLst>
        </xdr:cNvPr>
        <xdr:cNvSpPr/>
      </xdr:nvSpPr>
      <xdr:spPr>
        <a:xfrm>
          <a:off x="9225644" y="394607"/>
          <a:ext cx="6000750" cy="7728857"/>
        </a:xfrm>
        <a:prstGeom prst="roundRect">
          <a:avLst/>
        </a:prstGeom>
        <a:noFill/>
        <a:ln>
          <a:solidFill>
            <a:schemeClr val="lt1">
              <a:shade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cccc</a:t>
          </a:r>
        </a:p>
      </xdr:txBody>
    </xdr:sp>
    <xdr:clientData/>
  </xdr:twoCellAnchor>
  <xdr:twoCellAnchor>
    <xdr:from>
      <xdr:col>14</xdr:col>
      <xdr:colOff>54430</xdr:colOff>
      <xdr:row>3</xdr:row>
      <xdr:rowOff>68036</xdr:rowOff>
    </xdr:from>
    <xdr:to>
      <xdr:col>22</xdr:col>
      <xdr:colOff>163286</xdr:colOff>
      <xdr:row>14</xdr:row>
      <xdr:rowOff>40821</xdr:rowOff>
    </xdr:to>
    <xdr:graphicFrame macro="">
      <xdr:nvGraphicFramePr>
        <xdr:cNvPr id="32" name="Chart 31">
          <a:extLst>
            <a:ext uri="{FF2B5EF4-FFF2-40B4-BE49-F238E27FC236}">
              <a16:creationId xmlns:a16="http://schemas.microsoft.com/office/drawing/2014/main" id="{C4B68E13-2BAF-42E3-831E-4F2C6B610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639536</xdr:colOff>
      <xdr:row>16</xdr:row>
      <xdr:rowOff>27215</xdr:rowOff>
    </xdr:from>
    <xdr:to>
      <xdr:col>18</xdr:col>
      <xdr:colOff>136071</xdr:colOff>
      <xdr:row>26</xdr:row>
      <xdr:rowOff>69776</xdr:rowOff>
    </xdr:to>
    <xdr:graphicFrame macro="">
      <xdr:nvGraphicFramePr>
        <xdr:cNvPr id="13" name="Chart 12">
          <a:extLst>
            <a:ext uri="{FF2B5EF4-FFF2-40B4-BE49-F238E27FC236}">
              <a16:creationId xmlns:a16="http://schemas.microsoft.com/office/drawing/2014/main" id="{5817551D-F940-4518-9CC3-087F36423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544286</xdr:colOff>
      <xdr:row>15</xdr:row>
      <xdr:rowOff>13607</xdr:rowOff>
    </xdr:from>
    <xdr:to>
      <xdr:col>22</xdr:col>
      <xdr:colOff>530679</xdr:colOff>
      <xdr:row>15</xdr:row>
      <xdr:rowOff>40822</xdr:rowOff>
    </xdr:to>
    <xdr:cxnSp macro="">
      <xdr:nvCxnSpPr>
        <xdr:cNvPr id="25" name="Straight Connector 24">
          <a:extLst>
            <a:ext uri="{FF2B5EF4-FFF2-40B4-BE49-F238E27FC236}">
              <a16:creationId xmlns:a16="http://schemas.microsoft.com/office/drawing/2014/main" id="{5EAC9F44-D9FD-F522-4BB1-FF3E16096359}"/>
            </a:ext>
          </a:extLst>
        </xdr:cNvPr>
        <xdr:cNvCxnSpPr/>
      </xdr:nvCxnSpPr>
      <xdr:spPr>
        <a:xfrm flipV="1">
          <a:off x="9212036" y="3075214"/>
          <a:ext cx="5987143" cy="2721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612321</xdr:colOff>
      <xdr:row>26</xdr:row>
      <xdr:rowOff>163285</xdr:rowOff>
    </xdr:from>
    <xdr:to>
      <xdr:col>22</xdr:col>
      <xdr:colOff>530678</xdr:colOff>
      <xdr:row>27</xdr:row>
      <xdr:rowOff>0</xdr:rowOff>
    </xdr:to>
    <xdr:cxnSp macro="">
      <xdr:nvCxnSpPr>
        <xdr:cNvPr id="36" name="Straight Connector 35">
          <a:extLst>
            <a:ext uri="{FF2B5EF4-FFF2-40B4-BE49-F238E27FC236}">
              <a16:creationId xmlns:a16="http://schemas.microsoft.com/office/drawing/2014/main" id="{D6055B05-56E5-722E-D9F0-395ECD79E835}"/>
            </a:ext>
          </a:extLst>
        </xdr:cNvPr>
        <xdr:cNvCxnSpPr/>
      </xdr:nvCxnSpPr>
      <xdr:spPr>
        <a:xfrm flipV="1">
          <a:off x="9280071" y="5470071"/>
          <a:ext cx="5919107" cy="40822"/>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204107</xdr:colOff>
      <xdr:row>15</xdr:row>
      <xdr:rowOff>54428</xdr:rowOff>
    </xdr:from>
    <xdr:to>
      <xdr:col>18</xdr:col>
      <xdr:colOff>244929</xdr:colOff>
      <xdr:row>27</xdr:row>
      <xdr:rowOff>13607</xdr:rowOff>
    </xdr:to>
    <xdr:cxnSp macro="">
      <xdr:nvCxnSpPr>
        <xdr:cNvPr id="38" name="Straight Connector 37">
          <a:extLst>
            <a:ext uri="{FF2B5EF4-FFF2-40B4-BE49-F238E27FC236}">
              <a16:creationId xmlns:a16="http://schemas.microsoft.com/office/drawing/2014/main" id="{CEB91742-789B-952E-71E7-CCB5B77F3035}"/>
            </a:ext>
          </a:extLst>
        </xdr:cNvPr>
        <xdr:cNvCxnSpPr/>
      </xdr:nvCxnSpPr>
      <xdr:spPr>
        <a:xfrm>
          <a:off x="12205607" y="3116035"/>
          <a:ext cx="40822" cy="240846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340178</xdr:colOff>
      <xdr:row>2</xdr:row>
      <xdr:rowOff>40823</xdr:rowOff>
    </xdr:from>
    <xdr:to>
      <xdr:col>17</xdr:col>
      <xdr:colOff>367392</xdr:colOff>
      <xdr:row>3</xdr:row>
      <xdr:rowOff>149680</xdr:rowOff>
    </xdr:to>
    <xdr:sp macro="" textlink="">
      <xdr:nvSpPr>
        <xdr:cNvPr id="40" name="TextBox 39">
          <a:extLst>
            <a:ext uri="{FF2B5EF4-FFF2-40B4-BE49-F238E27FC236}">
              <a16:creationId xmlns:a16="http://schemas.microsoft.com/office/drawing/2014/main" id="{E9B30754-7EBC-7D7F-0876-61EAB60C9E59}"/>
            </a:ext>
          </a:extLst>
        </xdr:cNvPr>
        <xdr:cNvSpPr txBox="1"/>
      </xdr:nvSpPr>
      <xdr:spPr>
        <a:xfrm>
          <a:off x="9674678" y="449037"/>
          <a:ext cx="2027464"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13</xdr:col>
      <xdr:colOff>612322</xdr:colOff>
      <xdr:row>15</xdr:row>
      <xdr:rowOff>27214</xdr:rowOff>
    </xdr:from>
    <xdr:to>
      <xdr:col>16</xdr:col>
      <xdr:colOff>489858</xdr:colOff>
      <xdr:row>16</xdr:row>
      <xdr:rowOff>190499</xdr:rowOff>
    </xdr:to>
    <xdr:sp macro="" textlink="">
      <xdr:nvSpPr>
        <xdr:cNvPr id="41" name="TextBox 40">
          <a:extLst>
            <a:ext uri="{FF2B5EF4-FFF2-40B4-BE49-F238E27FC236}">
              <a16:creationId xmlns:a16="http://schemas.microsoft.com/office/drawing/2014/main" id="{1B8B92A8-74E8-2876-09E2-50C76199946B}"/>
            </a:ext>
          </a:extLst>
        </xdr:cNvPr>
        <xdr:cNvSpPr txBox="1"/>
      </xdr:nvSpPr>
      <xdr:spPr>
        <a:xfrm>
          <a:off x="9280072" y="3088821"/>
          <a:ext cx="1877786" cy="36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SALES BY OUTLET SIZE</a:t>
          </a:r>
        </a:p>
      </xdr:txBody>
    </xdr:sp>
    <xdr:clientData/>
  </xdr:twoCellAnchor>
  <xdr:twoCellAnchor>
    <xdr:from>
      <xdr:col>18</xdr:col>
      <xdr:colOff>353786</xdr:colOff>
      <xdr:row>15</xdr:row>
      <xdr:rowOff>190500</xdr:rowOff>
    </xdr:from>
    <xdr:to>
      <xdr:col>22</xdr:col>
      <xdr:colOff>585107</xdr:colOff>
      <xdr:row>26</xdr:row>
      <xdr:rowOff>60184</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2BC60EBB-9A1F-4997-AEBF-1EF790AA0F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423866" y="3162300"/>
              <a:ext cx="2913561" cy="20947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620233</xdr:colOff>
      <xdr:row>28</xdr:row>
      <xdr:rowOff>177209</xdr:rowOff>
    </xdr:from>
    <xdr:to>
      <xdr:col>18</xdr:col>
      <xdr:colOff>17721</xdr:colOff>
      <xdr:row>39</xdr:row>
      <xdr:rowOff>177209</xdr:rowOff>
    </xdr:to>
    <xdr:graphicFrame macro="">
      <xdr:nvGraphicFramePr>
        <xdr:cNvPr id="43" name="Chart 42">
          <a:extLst>
            <a:ext uri="{FF2B5EF4-FFF2-40B4-BE49-F238E27FC236}">
              <a16:creationId xmlns:a16="http://schemas.microsoft.com/office/drawing/2014/main" id="{332614F8-F127-4688-BAE7-D37502E9A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212652</xdr:colOff>
      <xdr:row>28</xdr:row>
      <xdr:rowOff>88604</xdr:rowOff>
    </xdr:from>
    <xdr:to>
      <xdr:col>22</xdr:col>
      <xdr:colOff>354419</xdr:colOff>
      <xdr:row>39</xdr:row>
      <xdr:rowOff>159488</xdr:rowOff>
    </xdr:to>
    <xdr:graphicFrame macro="">
      <xdr:nvGraphicFramePr>
        <xdr:cNvPr id="44" name="Chart 43">
          <a:extLst>
            <a:ext uri="{FF2B5EF4-FFF2-40B4-BE49-F238E27FC236}">
              <a16:creationId xmlns:a16="http://schemas.microsoft.com/office/drawing/2014/main" id="{AD35A33A-1A2B-4054-9C0B-B16804B86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130628</xdr:colOff>
      <xdr:row>38</xdr:row>
      <xdr:rowOff>76200</xdr:rowOff>
    </xdr:from>
    <xdr:to>
      <xdr:col>17</xdr:col>
      <xdr:colOff>631371</xdr:colOff>
      <xdr:row>40</xdr:row>
      <xdr:rowOff>10886</xdr:rowOff>
    </xdr:to>
    <xdr:sp macro="" textlink="">
      <xdr:nvSpPr>
        <xdr:cNvPr id="45" name="TextBox 44">
          <a:extLst>
            <a:ext uri="{FF2B5EF4-FFF2-40B4-BE49-F238E27FC236}">
              <a16:creationId xmlns:a16="http://schemas.microsoft.com/office/drawing/2014/main" id="{85B289D3-C4D8-0A28-67C6-1EDB7ACA433E}"/>
            </a:ext>
          </a:extLst>
        </xdr:cNvPr>
        <xdr:cNvSpPr txBox="1"/>
      </xdr:nvSpPr>
      <xdr:spPr>
        <a:xfrm>
          <a:off x="10929257" y="7522029"/>
          <a:ext cx="1175657"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 SALES</a:t>
          </a:r>
        </a:p>
      </xdr:txBody>
    </xdr:sp>
    <xdr:clientData/>
  </xdr:twoCellAnchor>
  <xdr:twoCellAnchor>
    <xdr:from>
      <xdr:col>20</xdr:col>
      <xdr:colOff>555171</xdr:colOff>
      <xdr:row>38</xdr:row>
      <xdr:rowOff>141513</xdr:rowOff>
    </xdr:from>
    <xdr:to>
      <xdr:col>22</xdr:col>
      <xdr:colOff>478972</xdr:colOff>
      <xdr:row>39</xdr:row>
      <xdr:rowOff>185056</xdr:rowOff>
    </xdr:to>
    <xdr:sp macro="" textlink="">
      <xdr:nvSpPr>
        <xdr:cNvPr id="46" name="TextBox 45">
          <a:extLst>
            <a:ext uri="{FF2B5EF4-FFF2-40B4-BE49-F238E27FC236}">
              <a16:creationId xmlns:a16="http://schemas.microsoft.com/office/drawing/2014/main" id="{51A256E3-AC71-0205-A69B-274574A553FC}"/>
            </a:ext>
          </a:extLst>
        </xdr:cNvPr>
        <xdr:cNvSpPr txBox="1"/>
      </xdr:nvSpPr>
      <xdr:spPr>
        <a:xfrm>
          <a:off x="14053457" y="7587342"/>
          <a:ext cx="1273629" cy="239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AVERAGE SALES</a:t>
          </a:r>
        </a:p>
      </xdr:txBody>
    </xdr:sp>
    <xdr:clientData/>
  </xdr:twoCellAnchor>
  <xdr:twoCellAnchor>
    <xdr:from>
      <xdr:col>18</xdr:col>
      <xdr:colOff>304800</xdr:colOff>
      <xdr:row>15</xdr:row>
      <xdr:rowOff>54429</xdr:rowOff>
    </xdr:from>
    <xdr:to>
      <xdr:col>20</xdr:col>
      <xdr:colOff>402771</xdr:colOff>
      <xdr:row>16</xdr:row>
      <xdr:rowOff>163286</xdr:rowOff>
    </xdr:to>
    <xdr:sp macro="" textlink="">
      <xdr:nvSpPr>
        <xdr:cNvPr id="47" name="TextBox 46">
          <a:extLst>
            <a:ext uri="{FF2B5EF4-FFF2-40B4-BE49-F238E27FC236}">
              <a16:creationId xmlns:a16="http://schemas.microsoft.com/office/drawing/2014/main" id="{C8BBA39D-AA02-5096-F5AC-169B56C1EBDA}"/>
            </a:ext>
          </a:extLst>
        </xdr:cNvPr>
        <xdr:cNvSpPr txBox="1"/>
      </xdr:nvSpPr>
      <xdr:spPr>
        <a:xfrm>
          <a:off x="12453257" y="2993572"/>
          <a:ext cx="1447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OUTLET LOCATION</a:t>
          </a:r>
        </a:p>
      </xdr:txBody>
    </xdr:sp>
    <xdr:clientData/>
  </xdr:twoCellAnchor>
  <xdr:twoCellAnchor>
    <xdr:from>
      <xdr:col>9</xdr:col>
      <xdr:colOff>239486</xdr:colOff>
      <xdr:row>13</xdr:row>
      <xdr:rowOff>174172</xdr:rowOff>
    </xdr:from>
    <xdr:to>
      <xdr:col>10</xdr:col>
      <xdr:colOff>478972</xdr:colOff>
      <xdr:row>15</xdr:row>
      <xdr:rowOff>108858</xdr:rowOff>
    </xdr:to>
    <xdr:sp macro="" textlink="">
      <xdr:nvSpPr>
        <xdr:cNvPr id="48" name="TextBox 47">
          <a:extLst>
            <a:ext uri="{FF2B5EF4-FFF2-40B4-BE49-F238E27FC236}">
              <a16:creationId xmlns:a16="http://schemas.microsoft.com/office/drawing/2014/main" id="{85EDF703-421B-3CA7-61C2-385BBE411C0A}"/>
            </a:ext>
          </a:extLst>
        </xdr:cNvPr>
        <xdr:cNvSpPr txBox="1"/>
      </xdr:nvSpPr>
      <xdr:spPr>
        <a:xfrm>
          <a:off x="6313715" y="2721429"/>
          <a:ext cx="91440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ITEM TYPE</a:t>
          </a:r>
        </a:p>
      </xdr:txBody>
    </xdr:sp>
    <xdr:clientData/>
  </xdr:twoCellAnchor>
  <xdr:twoCellAnchor editAs="oneCell">
    <xdr:from>
      <xdr:col>1</xdr:col>
      <xdr:colOff>409109</xdr:colOff>
      <xdr:row>13</xdr:row>
      <xdr:rowOff>175637</xdr:rowOff>
    </xdr:from>
    <xdr:to>
      <xdr:col>4</xdr:col>
      <xdr:colOff>213166</xdr:colOff>
      <xdr:row>20</xdr:row>
      <xdr:rowOff>27538</xdr:rowOff>
    </xdr:to>
    <mc:AlternateContent xmlns:mc="http://schemas.openxmlformats.org/markup-compatibility/2006" xmlns:a14="http://schemas.microsoft.com/office/drawing/2010/main">
      <mc:Choice Requires="a14">
        <xdr:graphicFrame macro="">
          <xdr:nvGraphicFramePr>
            <xdr:cNvPr id="49" name="Outlet Location Type 1">
              <a:extLst>
                <a:ext uri="{FF2B5EF4-FFF2-40B4-BE49-F238E27FC236}">
                  <a16:creationId xmlns:a16="http://schemas.microsoft.com/office/drawing/2014/main" id="{C3762B77-E31B-4D87-959F-B8AD9960FEB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84023" y="2722894"/>
              <a:ext cx="1828800" cy="1267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409109</xdr:colOff>
      <xdr:row>21</xdr:row>
      <xdr:rowOff>12350</xdr:rowOff>
    </xdr:from>
    <xdr:to>
      <xdr:col>4</xdr:col>
      <xdr:colOff>213166</xdr:colOff>
      <xdr:row>34</xdr:row>
      <xdr:rowOff>160668</xdr:rowOff>
    </xdr:to>
    <mc:AlternateContent xmlns:mc="http://schemas.openxmlformats.org/markup-compatibility/2006" xmlns:a14="http://schemas.microsoft.com/office/drawing/2010/main">
      <mc:Choice Requires="a14">
        <xdr:graphicFrame macro="">
          <xdr:nvGraphicFramePr>
            <xdr:cNvPr id="50" name="Item Type 1">
              <a:extLst>
                <a:ext uri="{FF2B5EF4-FFF2-40B4-BE49-F238E27FC236}">
                  <a16:creationId xmlns:a16="http://schemas.microsoft.com/office/drawing/2014/main" id="{3AFA1E5B-2E54-48C3-A4FC-754C441821E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84023" y="417069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424544</xdr:colOff>
      <xdr:row>35</xdr:row>
      <xdr:rowOff>152399</xdr:rowOff>
    </xdr:from>
    <xdr:to>
      <xdr:col>2</xdr:col>
      <xdr:colOff>163287</xdr:colOff>
      <xdr:row>37</xdr:row>
      <xdr:rowOff>174170</xdr:rowOff>
    </xdr:to>
    <xdr:pic>
      <xdr:nvPicPr>
        <xdr:cNvPr id="53" name="Picture 52">
          <a:hlinkClick xmlns:r="http://schemas.openxmlformats.org/officeDocument/2006/relationships" r:id="rId9"/>
          <a:extLst>
            <a:ext uri="{FF2B5EF4-FFF2-40B4-BE49-F238E27FC236}">
              <a16:creationId xmlns:a16="http://schemas.microsoft.com/office/drawing/2014/main" id="{1FD80F25-14E3-2DB4-B483-3B93BB9C2295}"/>
            </a:ext>
          </a:extLst>
        </xdr:cNvPr>
        <xdr:cNvPicPr>
          <a:picLocks noChangeAspect="1"/>
        </xdr:cNvPicPr>
      </xdr:nvPicPr>
      <xdr:blipFill>
        <a:blip xmlns:r="http://schemas.openxmlformats.org/officeDocument/2006/relationships" r:embed="rId10"/>
        <a:stretch>
          <a:fillRect/>
        </a:stretch>
      </xdr:blipFill>
      <xdr:spPr>
        <a:xfrm>
          <a:off x="1099458" y="7010399"/>
          <a:ext cx="413658" cy="413657"/>
        </a:xfrm>
        <a:prstGeom prst="rect">
          <a:avLst/>
        </a:prstGeom>
        <a:solidFill>
          <a:srgbClr val="FFD200"/>
        </a:solidFill>
      </xdr:spPr>
    </xdr:pic>
    <xdr:clientData/>
  </xdr:twoCellAnchor>
  <xdr:twoCellAnchor editAs="oneCell">
    <xdr:from>
      <xdr:col>3</xdr:col>
      <xdr:colOff>381000</xdr:colOff>
      <xdr:row>35</xdr:row>
      <xdr:rowOff>195942</xdr:rowOff>
    </xdr:from>
    <xdr:to>
      <xdr:col>4</xdr:col>
      <xdr:colOff>32657</xdr:colOff>
      <xdr:row>38</xdr:row>
      <xdr:rowOff>10886</xdr:rowOff>
    </xdr:to>
    <xdr:pic>
      <xdr:nvPicPr>
        <xdr:cNvPr id="54" name="Picture 53">
          <a:hlinkClick xmlns:r="http://schemas.openxmlformats.org/officeDocument/2006/relationships" r:id="rId11"/>
          <a:extLst>
            <a:ext uri="{FF2B5EF4-FFF2-40B4-BE49-F238E27FC236}">
              <a16:creationId xmlns:a16="http://schemas.microsoft.com/office/drawing/2014/main" id="{CF359433-6A3E-0B0B-EDD2-EED7B858B397}"/>
            </a:ext>
          </a:extLst>
        </xdr:cNvPr>
        <xdr:cNvPicPr>
          <a:picLocks noChangeAspect="1"/>
        </xdr:cNvPicPr>
      </xdr:nvPicPr>
      <xdr:blipFill>
        <a:blip xmlns:r="http://schemas.openxmlformats.org/officeDocument/2006/relationships" r:embed="rId12"/>
        <a:stretch>
          <a:fillRect/>
        </a:stretch>
      </xdr:blipFill>
      <xdr:spPr>
        <a:xfrm>
          <a:off x="2405743" y="7053942"/>
          <a:ext cx="326571" cy="402772"/>
        </a:xfrm>
        <a:prstGeom prst="rect">
          <a:avLst/>
        </a:prstGeom>
      </xdr:spPr>
    </xdr:pic>
    <xdr:clientData/>
  </xdr:twoCellAnchor>
  <xdr:twoCellAnchor>
    <xdr:from>
      <xdr:col>13</xdr:col>
      <xdr:colOff>631372</xdr:colOff>
      <xdr:row>27</xdr:row>
      <xdr:rowOff>130629</xdr:rowOff>
    </xdr:from>
    <xdr:to>
      <xdr:col>15</xdr:col>
      <xdr:colOff>446316</xdr:colOff>
      <xdr:row>28</xdr:row>
      <xdr:rowOff>174172</xdr:rowOff>
    </xdr:to>
    <xdr:sp macro="" textlink="">
      <xdr:nvSpPr>
        <xdr:cNvPr id="55" name="TextBox 54">
          <a:extLst>
            <a:ext uri="{FF2B5EF4-FFF2-40B4-BE49-F238E27FC236}">
              <a16:creationId xmlns:a16="http://schemas.microsoft.com/office/drawing/2014/main" id="{77E94470-49A4-6841-C8F8-3D541AE6C435}"/>
            </a:ext>
          </a:extLst>
        </xdr:cNvPr>
        <xdr:cNvSpPr txBox="1"/>
      </xdr:nvSpPr>
      <xdr:spPr>
        <a:xfrm>
          <a:off x="9405258" y="5464629"/>
          <a:ext cx="1164772"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OUTLET TYPE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5977.934625925926" createdVersion="8" refreshedVersion="8" minRefreshableVersion="3" recordCount="8523" xr:uid="{A8A088DB-4939-4442-8E21-E6A1B475373C}">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56829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3EA5F1-3737-4C5F-BB17-9E8245F55F1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9:B65"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6"/>
  </dataFields>
  <formats count="14">
    <format dxfId="13">
      <pivotArea type="all" dataOnly="0" outline="0" fieldPosition="0"/>
    </format>
    <format dxfId="12">
      <pivotArea dataOnly="0" labelOnly="1" grandRow="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format>
    <format dxfId="7">
      <pivotArea type="topRight" dataOnly="0" labelOnly="1" outline="0"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AA37D-9D7B-4E42-AECD-70195DD58E7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108:B11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6"/>
  </dataFields>
  <formats count="13">
    <format dxfId="26">
      <pivotArea type="all" dataOnly="0" outline="0" fieldPosition="0"/>
    </format>
    <format dxfId="25">
      <pivotArea dataOnly="0" labelOnly="1" grandRow="1" outline="0"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0" type="button" dataOnly="0" labelOnly="1" outline="0"/>
    </format>
    <format dxfId="20">
      <pivotArea type="topRight" dataOnly="0" labelOnly="1" outline="0"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field="6" type="button" dataOnly="0" labelOnly="1" outline="0" axis="axisRow" fieldPosition="0"/>
    </format>
    <format dxfId="15">
      <pivotArea dataOnly="0" labelOnly="1" fieldPosition="0">
        <references count="1">
          <reference field="6" count="0"/>
        </references>
      </pivotArea>
    </format>
    <format dxfId="14">
      <pivotArea dataOnly="0" labelOnly="1" outline="0" axis="axisValues" fieldPosition="0"/>
    </format>
  </formats>
  <chartFormats count="9">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1D0A15-F8D6-4BDD-975D-C852406ECBC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0:C34"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3">
    <format dxfId="39">
      <pivotArea type="all" dataOnly="0" outline="0" fieldPosition="0"/>
    </format>
    <format dxfId="38">
      <pivotArea dataOnly="0" labelOnly="1" grandRow="1" outline="0" fieldPosition="0"/>
    </format>
    <format dxfId="37">
      <pivotArea dataOnly="0" labelOnly="1" outline="0" axis="axisValues" fieldPosition="0"/>
    </format>
    <format dxfId="36">
      <pivotArea collapsedLevelsAreSubtotals="1" fieldPosition="0">
        <references count="1">
          <reference field="0" count="1">
            <x v="0"/>
          </reference>
        </references>
      </pivotArea>
    </format>
    <format dxfId="35">
      <pivotArea collapsedLevelsAreSubtotals="1" fieldPosition="0">
        <references count="1">
          <reference field="0" count="1">
            <x v="1"/>
          </reference>
        </references>
      </pivotArea>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0" type="button" dataOnly="0" labelOnly="1" outline="0" axis="axisCol" fieldPosition="0"/>
    </format>
    <format dxfId="30">
      <pivotArea type="topRight" dataOnly="0" labelOnly="1" outline="0" fieldPosition="0"/>
    </format>
    <format dxfId="29">
      <pivotArea field="6" type="button" dataOnly="0" labelOnly="1" outline="0" axis="axisRow" fieldPosition="0"/>
    </format>
    <format dxfId="28">
      <pivotArea dataOnly="0" labelOnly="1" fieldPosition="0">
        <references count="1">
          <reference field="6" count="0"/>
        </references>
      </pivotArea>
    </format>
    <format dxfId="27">
      <pivotArea dataOnly="0" labelOnly="1" fieldPosition="0">
        <references count="1">
          <reference field="0" count="0"/>
        </references>
      </pivotArea>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8B977E-58AA-487C-8A6C-1A632E9F1C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6">
    <format dxfId="45">
      <pivotArea type="all" dataOnly="0" outline="0" fieldPosition="0"/>
    </format>
    <format dxfId="44">
      <pivotArea outline="0" collapsedLevelsAreSubtotals="1" fieldPosition="0"/>
    </format>
    <format dxfId="43">
      <pivotArea dataOnly="0" labelOnly="1" outline="0" fieldPosition="0">
        <references count="1">
          <reference field="4294967294" count="4">
            <x v="0"/>
            <x v="1"/>
            <x v="2"/>
            <x v="3"/>
          </reference>
        </references>
      </pivotArea>
    </format>
    <format dxfId="42">
      <pivotArea type="all" dataOnly="0" outline="0" fieldPosition="0"/>
    </format>
    <format dxfId="41">
      <pivotArea outline="0" collapsedLevelsAreSubtotals="1" fieldPosition="0"/>
    </format>
    <format dxfId="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5257BC-6897-48E9-B280-A6A09676F15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1:B9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6"/>
  </dataFields>
  <formats count="14">
    <format dxfId="59">
      <pivotArea type="all" dataOnly="0" outline="0" fieldPosition="0"/>
    </format>
    <format dxfId="58">
      <pivotArea dataOnly="0" labelOnly="1" grandRow="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0" type="button" dataOnly="0" labelOnly="1" outline="0"/>
    </format>
    <format dxfId="53">
      <pivotArea type="topRight" dataOnly="0" labelOnly="1" outline="0" fieldPosition="0"/>
    </format>
    <format dxfId="52">
      <pivotArea field="6" type="button" dataOnly="0" labelOnly="1" outline="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7" type="button" dataOnly="0" labelOnly="1" outline="0" axis="axisRow" fieldPosition="0"/>
    </format>
    <format dxfId="47">
      <pivotArea dataOnly="0" labelOnly="1" fieldPosition="0">
        <references count="1">
          <reference field="7" count="0"/>
        </references>
      </pivotArea>
    </format>
    <format dxfId="46">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2BD456-DD46-4F7F-A4A4-27E1ABD889B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7:B19"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collapsedLevelsAreSubtotals="1" fieldPosition="0">
        <references count="1">
          <reference field="0" count="1">
            <x v="0"/>
          </reference>
        </references>
      </pivotArea>
    </format>
    <format dxfId="60">
      <pivotArea collapsedLevelsAreSubtotals="1" fieldPosition="0">
        <references count="1">
          <reference field="0" count="1">
            <x v="1"/>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BF6760-CD0D-40AC-B9E3-93AD9E662DB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2:B8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6"/>
  </dataFields>
  <formats count="14">
    <format dxfId="81">
      <pivotArea type="all" dataOnly="0" outline="0" fieldPosition="0"/>
    </format>
    <format dxfId="80">
      <pivotArea dataOnly="0" labelOnly="1" grandRow="1" outline="0" fieldPosition="0"/>
    </format>
    <format dxfId="79">
      <pivotArea type="all" dataOnly="0" outline="0" fieldPosition="0"/>
    </format>
    <format dxfId="78">
      <pivotArea outline="0" collapsedLevelsAreSubtotals="1" fieldPosition="0"/>
    </format>
    <format dxfId="77">
      <pivotArea type="origin" dataOnly="0" labelOnly="1" outline="0" fieldPosition="0"/>
    </format>
    <format dxfId="76">
      <pivotArea field="0" type="button" dataOnly="0" labelOnly="1" outline="0"/>
    </format>
    <format dxfId="75">
      <pivotArea type="topRight" dataOnly="0" labelOnly="1" outline="0" fieldPosition="0"/>
    </format>
    <format dxfId="74">
      <pivotArea field="6" type="button" dataOnly="0" labelOnly="1" outline="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2"/>
          </reference>
        </references>
      </pivotArea>
    </chartFormat>
    <chartFormat chart="20" format="4">
      <pivotArea type="data" outline="0" fieldPosition="0">
        <references count="2">
          <reference field="4294967294" count="1" selected="0">
            <x v="0"/>
          </reference>
          <reference field="4" count="1" selected="0">
            <x v="3"/>
          </reference>
        </references>
      </pivotArea>
    </chartFormat>
    <chartFormat chart="20" format="5">
      <pivotArea type="data" outline="0" fieldPosition="0">
        <references count="2">
          <reference field="4294967294" count="1" selected="0">
            <x v="0"/>
          </reference>
          <reference field="4" count="1" selected="0">
            <x v="4"/>
          </reference>
        </references>
      </pivotArea>
    </chartFormat>
    <chartFormat chart="20" format="6">
      <pivotArea type="data" outline="0" fieldPosition="0">
        <references count="2">
          <reference field="4294967294" count="1" selected="0">
            <x v="0"/>
          </reference>
          <reference field="4" count="1" selected="0">
            <x v="5"/>
          </reference>
        </references>
      </pivotArea>
    </chartFormat>
    <chartFormat chart="20" format="7">
      <pivotArea type="data" outline="0" fieldPosition="0">
        <references count="2">
          <reference field="4294967294" count="1" selected="0">
            <x v="0"/>
          </reference>
          <reference field="4" count="1" selected="0">
            <x v="6"/>
          </reference>
        </references>
      </pivotArea>
    </chartFormat>
    <chartFormat chart="20" format="8">
      <pivotArea type="data" outline="0" fieldPosition="0">
        <references count="2">
          <reference field="4294967294" count="1" selected="0">
            <x v="0"/>
          </reference>
          <reference field="4" count="1" selected="0">
            <x v="7"/>
          </reference>
        </references>
      </pivotArea>
    </chartFormat>
    <chartFormat chart="20" format="9">
      <pivotArea type="data" outline="0" fieldPosition="0">
        <references count="2">
          <reference field="4294967294" count="1" selected="0">
            <x v="0"/>
          </reference>
          <reference field="4" count="1" selected="0">
            <x v="8"/>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D1E00-3F92-4A50-A230-06C4FA140A8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48:B152"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7">
    <format dxfId="98">
      <pivotArea type="all" dataOnly="0" outline="0" fieldPosition="0"/>
    </format>
    <format dxfId="97">
      <pivotArea dataOnly="0" labelOnly="1" grandRow="1" outline="0"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0" type="button" dataOnly="0" labelOnly="1" outline="0"/>
    </format>
    <format dxfId="92">
      <pivotArea type="topRight" dataOnly="0" labelOnly="1" outline="0"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field="6" type="button" dataOnly="0" labelOnly="1" outline="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8" type="button" dataOnly="0" labelOnly="1" outline="0" axis="axisRow" fieldPosition="0"/>
    </format>
    <format dxfId="83">
      <pivotArea dataOnly="0" labelOnly="1" fieldPosition="0">
        <references count="1">
          <reference field="8" count="0"/>
        </references>
      </pivotArea>
    </format>
    <format dxfId="82">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3ABF07-468A-46A1-A9D2-6B354CB5AB8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27:B13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6"/>
  </dataFields>
  <formats count="13">
    <format dxfId="111">
      <pivotArea type="all" dataOnly="0" outline="0" fieldPosition="0"/>
    </format>
    <format dxfId="110">
      <pivotArea dataOnly="0" labelOnly="1" grandRow="1" outline="0" fieldPosition="0"/>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0" type="button" dataOnly="0" labelOnly="1" outline="0"/>
    </format>
    <format dxfId="105">
      <pivotArea type="topRight" dataOnly="0" labelOnly="1"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8" type="button" dataOnly="0" labelOnly="1" outline="0" axis="axisRow" fieldPosition="0"/>
    </format>
    <format dxfId="100">
      <pivotArea dataOnly="0" labelOnly="1" fieldPosition="0">
        <references count="1">
          <reference field="8" count="0"/>
        </references>
      </pivotArea>
    </format>
    <format dxfId="99">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FD47376-0BD8-42E2-9A08-E26673B67F3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85682910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0A9D060-70BA-446B-8BC1-49437B35F5FC}" sourceName="Item Typ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85682910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922F9D3-03FD-49A1-8973-A0EA51AA27D1}" sourceName="Outlet Location Typ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8568291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CC99105-6484-4117-8563-0EDFA0833DF3}" cache="Slicer_Outlet_Size" caption="Outlet Size" rowHeight="260350"/>
  <slicer name="Item Type" xr10:uid="{4F6A9F5E-4A2B-4541-9154-F6297151128E}" cache="Slicer_Item_Type" caption="Item Type" rowHeight="260350"/>
  <slicer name="Outlet Location Type" xr10:uid="{4D767939-8109-42D9-B0C1-D5764E6B629B}"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76D3A03-42B1-49EE-9ECF-AC1BFF6F7F2D}" cache="Slicer_Outlet_Size" caption="Outlet Size" style="SlicerStyleLight4 2" rowHeight="260350"/>
  <slicer name="Item Type 1" xr10:uid="{507A933C-645D-4508-BD22-175E461D0A07}" cache="Slicer_Item_Type" caption="Item Type" style="SlicerStyleLight4 2" rowHeight="260350"/>
  <slicer name="Outlet Location Type 1" xr10:uid="{48F48971-8A9E-431D-A116-EE8C37C2F879}" cache="Slicer_Outlet_Location_Type" caption="Outlet Location"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892E2AF-13FD-4252-97F0-88F54CBEF282}"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7E16A-44EE-4CA4-9523-ECE801A0A959}">
  <dimension ref="A1:N166"/>
  <sheetViews>
    <sheetView topLeftCell="A72" zoomScale="61" workbookViewId="0">
      <selection activeCell="A92" sqref="A92"/>
    </sheetView>
  </sheetViews>
  <sheetFormatPr defaultRowHeight="15.6" x14ac:dyDescent="0.3"/>
  <cols>
    <col min="1" max="1" width="13.5" bestFit="1" customWidth="1"/>
    <col min="2" max="2" width="11.59765625" bestFit="1" customWidth="1"/>
    <col min="3" max="3" width="7.296875" bestFit="1" customWidth="1"/>
    <col min="4" max="4" width="15.796875" bestFit="1" customWidth="1"/>
  </cols>
  <sheetData>
    <row r="1" spans="1:5" ht="16.2" thickBot="1" x14ac:dyDescent="0.35"/>
    <row r="2" spans="1:5" ht="16.2" thickBot="1" x14ac:dyDescent="0.35">
      <c r="A2" s="33" t="s">
        <v>1619</v>
      </c>
      <c r="B2" s="34"/>
      <c r="C2" s="34"/>
      <c r="D2" s="35"/>
      <c r="E2" s="1"/>
    </row>
    <row r="3" spans="1:5" ht="16.2" thickBot="1" x14ac:dyDescent="0.35">
      <c r="A3" s="6" t="s">
        <v>1610</v>
      </c>
      <c r="B3" s="7" t="s">
        <v>1611</v>
      </c>
      <c r="C3" s="7" t="s">
        <v>1613</v>
      </c>
      <c r="D3" s="8" t="s">
        <v>1614</v>
      </c>
      <c r="E3" s="3"/>
    </row>
    <row r="4" spans="1:5" ht="16.2" thickBot="1" x14ac:dyDescent="0.35">
      <c r="A4" s="6">
        <v>1201681.4928000034</v>
      </c>
      <c r="B4" s="7">
        <v>140.99278338613203</v>
      </c>
      <c r="C4" s="7">
        <v>8523</v>
      </c>
      <c r="D4" s="8">
        <v>3.9658570925731196</v>
      </c>
      <c r="E4" s="3"/>
    </row>
    <row r="5" spans="1:5" x14ac:dyDescent="0.3">
      <c r="A5" s="2"/>
      <c r="D5" s="3"/>
      <c r="E5" s="3"/>
    </row>
    <row r="6" spans="1:5" x14ac:dyDescent="0.3">
      <c r="A6" s="2"/>
      <c r="D6" s="3"/>
      <c r="E6" s="3"/>
    </row>
    <row r="7" spans="1:5" x14ac:dyDescent="0.3">
      <c r="A7" s="2"/>
      <c r="D7" s="3"/>
      <c r="E7" s="3"/>
    </row>
    <row r="8" spans="1:5" x14ac:dyDescent="0.3">
      <c r="A8" s="2" t="s">
        <v>1615</v>
      </c>
      <c r="B8" t="s">
        <v>1616</v>
      </c>
      <c r="C8" t="s">
        <v>1617</v>
      </c>
      <c r="D8" s="3" t="s">
        <v>1618</v>
      </c>
      <c r="E8" s="3"/>
    </row>
    <row r="9" spans="1:5" ht="16.2" thickBot="1" x14ac:dyDescent="0.35">
      <c r="A9" s="16">
        <f>GETPIVOTDATA("Sum of Sales",$A$3)</f>
        <v>1201681.4928000034</v>
      </c>
      <c r="B9" s="15">
        <f>GETPIVOTDATA("Average of Sales",$A$3)</f>
        <v>140.99278338613203</v>
      </c>
      <c r="C9" s="4">
        <f>GETPIVOTDATA("Number of Items",$A$3)</f>
        <v>8523</v>
      </c>
      <c r="D9" s="5">
        <f>GETPIVOTDATA("Average of Rating",$A$3)</f>
        <v>3.9658570925731196</v>
      </c>
      <c r="E9" s="3"/>
    </row>
    <row r="10" spans="1:5" ht="16.2" thickBot="1" x14ac:dyDescent="0.35">
      <c r="A10" s="9"/>
      <c r="B10" s="4"/>
      <c r="C10" s="4"/>
      <c r="D10" s="4"/>
      <c r="E10" s="10"/>
    </row>
    <row r="15" spans="1:5" ht="16.2" thickBot="1" x14ac:dyDescent="0.35"/>
    <row r="16" spans="1:5" ht="16.2" thickBot="1" x14ac:dyDescent="0.35">
      <c r="A16" s="33" t="s">
        <v>1621</v>
      </c>
      <c r="B16" s="34"/>
      <c r="C16" s="34"/>
      <c r="D16" s="34"/>
      <c r="E16" s="35"/>
    </row>
    <row r="17" spans="1:10" ht="16.2" thickBot="1" x14ac:dyDescent="0.35">
      <c r="A17" s="11" t="s">
        <v>1620</v>
      </c>
      <c r="B17" s="14" t="s">
        <v>1610</v>
      </c>
      <c r="E17" s="3"/>
    </row>
    <row r="18" spans="1:10" x14ac:dyDescent="0.3">
      <c r="A18" s="12" t="s">
        <v>17</v>
      </c>
      <c r="B18" s="17">
        <v>776319.68840000057</v>
      </c>
      <c r="E18" s="3"/>
    </row>
    <row r="19" spans="1:10" ht="16.2" thickBot="1" x14ac:dyDescent="0.35">
      <c r="A19" s="13" t="s">
        <v>10</v>
      </c>
      <c r="B19" s="18">
        <v>425361.8043999995</v>
      </c>
      <c r="E19" s="3"/>
    </row>
    <row r="20" spans="1:10" x14ac:dyDescent="0.3">
      <c r="E20" s="3"/>
    </row>
    <row r="21" spans="1:10" x14ac:dyDescent="0.3">
      <c r="A21" s="2"/>
      <c r="E21" s="3"/>
    </row>
    <row r="22" spans="1:10" x14ac:dyDescent="0.3">
      <c r="A22" s="2"/>
      <c r="E22" s="3"/>
    </row>
    <row r="23" spans="1:10" x14ac:dyDescent="0.3">
      <c r="A23" s="2"/>
      <c r="E23" s="3"/>
    </row>
    <row r="24" spans="1:10" x14ac:dyDescent="0.3">
      <c r="A24" s="2"/>
      <c r="E24" s="3"/>
    </row>
    <row r="25" spans="1:10" ht="16.2" thickBot="1" x14ac:dyDescent="0.35">
      <c r="A25" s="9"/>
      <c r="B25" s="4"/>
      <c r="C25" s="4"/>
      <c r="D25" s="4"/>
      <c r="E25" s="10"/>
    </row>
    <row r="27" spans="1:10" ht="16.2" thickBot="1" x14ac:dyDescent="0.35"/>
    <row r="28" spans="1:10" x14ac:dyDescent="0.3">
      <c r="A28" s="33" t="s">
        <v>1624</v>
      </c>
      <c r="B28" s="34"/>
      <c r="C28" s="34"/>
      <c r="D28" s="34"/>
      <c r="E28" s="34"/>
      <c r="F28" s="34"/>
      <c r="G28" s="34"/>
      <c r="H28" s="34"/>
      <c r="I28" s="34"/>
      <c r="J28" s="35"/>
    </row>
    <row r="29" spans="1:10" ht="16.2" thickBot="1" x14ac:dyDescent="0.35">
      <c r="A29" s="2"/>
      <c r="J29" s="3"/>
    </row>
    <row r="30" spans="1:10" ht="16.2" thickBot="1" x14ac:dyDescent="0.35">
      <c r="A30" s="11" t="s">
        <v>1610</v>
      </c>
      <c r="B30" s="11" t="s">
        <v>1622</v>
      </c>
      <c r="C30" s="14"/>
      <c r="J30" s="3"/>
    </row>
    <row r="31" spans="1:10" ht="16.2" thickBot="1" x14ac:dyDescent="0.35">
      <c r="A31" s="11" t="s">
        <v>1620</v>
      </c>
      <c r="B31" s="6" t="s">
        <v>17</v>
      </c>
      <c r="C31" s="8" t="s">
        <v>10</v>
      </c>
      <c r="J31" s="3"/>
    </row>
    <row r="32" spans="1:10" x14ac:dyDescent="0.3">
      <c r="A32" s="12" t="s">
        <v>14</v>
      </c>
      <c r="B32" s="19">
        <v>215047.9126000001</v>
      </c>
      <c r="C32" s="22">
        <v>121349.89940000001</v>
      </c>
      <c r="J32" s="3"/>
    </row>
    <row r="33" spans="1:14" x14ac:dyDescent="0.3">
      <c r="A33" s="26" t="s">
        <v>34</v>
      </c>
      <c r="B33" s="20">
        <v>254464.77940000014</v>
      </c>
      <c r="C33" s="23">
        <v>138685.86819999994</v>
      </c>
      <c r="J33" s="3"/>
    </row>
    <row r="34" spans="1:14" ht="16.2" thickBot="1" x14ac:dyDescent="0.35">
      <c r="A34" s="13" t="s">
        <v>21</v>
      </c>
      <c r="B34" s="21">
        <v>306806.99640000012</v>
      </c>
      <c r="C34" s="24">
        <v>165326.0368</v>
      </c>
      <c r="J34" s="3"/>
    </row>
    <row r="35" spans="1:14" x14ac:dyDescent="0.3">
      <c r="A35" s="2"/>
      <c r="J35" s="3"/>
    </row>
    <row r="36" spans="1:14" x14ac:dyDescent="0.3">
      <c r="A36" s="2"/>
      <c r="J36" s="3"/>
    </row>
    <row r="37" spans="1:14" x14ac:dyDescent="0.3">
      <c r="A37" s="2"/>
      <c r="J37" s="3"/>
    </row>
    <row r="38" spans="1:14" x14ac:dyDescent="0.3">
      <c r="A38" s="2"/>
      <c r="J38" s="3"/>
    </row>
    <row r="39" spans="1:14" x14ac:dyDescent="0.3">
      <c r="A39" s="2"/>
      <c r="J39" s="3"/>
    </row>
    <row r="40" spans="1:14" ht="16.2" thickBot="1" x14ac:dyDescent="0.35">
      <c r="A40" s="2"/>
      <c r="J40" s="3"/>
    </row>
    <row r="41" spans="1:14" ht="16.2" thickBot="1" x14ac:dyDescent="0.35">
      <c r="A41" s="2"/>
      <c r="J41" s="3"/>
      <c r="N41" s="14"/>
    </row>
    <row r="42" spans="1:14" x14ac:dyDescent="0.3">
      <c r="A42" s="2"/>
      <c r="J42" s="3"/>
    </row>
    <row r="43" spans="1:14" x14ac:dyDescent="0.3">
      <c r="A43" s="2"/>
      <c r="J43" s="3"/>
    </row>
    <row r="44" spans="1:14" x14ac:dyDescent="0.3">
      <c r="A44" s="2"/>
      <c r="J44" s="3"/>
    </row>
    <row r="45" spans="1:14" ht="16.2" thickBot="1" x14ac:dyDescent="0.35">
      <c r="A45" s="9"/>
      <c r="B45" s="4"/>
      <c r="C45" s="4"/>
      <c r="D45" s="4"/>
      <c r="E45" s="4"/>
      <c r="F45" s="4"/>
      <c r="G45" s="4"/>
      <c r="H45" s="4"/>
      <c r="I45" s="4"/>
      <c r="J45" s="10"/>
    </row>
    <row r="47" spans="1:14" ht="16.2" thickBot="1" x14ac:dyDescent="0.35"/>
    <row r="48" spans="1:14" ht="16.2" thickBot="1" x14ac:dyDescent="0.35">
      <c r="A48" s="33" t="s">
        <v>1623</v>
      </c>
      <c r="B48" s="34"/>
      <c r="C48" s="34"/>
      <c r="D48" s="34"/>
      <c r="E48" s="34"/>
      <c r="F48" s="34"/>
      <c r="G48" s="34"/>
      <c r="H48" s="34"/>
      <c r="I48" s="34"/>
      <c r="J48" s="35"/>
    </row>
    <row r="49" spans="1:10" ht="16.2" thickBot="1" x14ac:dyDescent="0.35">
      <c r="A49" s="11" t="s">
        <v>1620</v>
      </c>
      <c r="B49" s="14" t="s">
        <v>1610</v>
      </c>
      <c r="J49" s="3"/>
    </row>
    <row r="50" spans="1:10" x14ac:dyDescent="0.3">
      <c r="A50" s="12" t="s">
        <v>153</v>
      </c>
      <c r="B50" s="17">
        <v>9077.869999999999</v>
      </c>
      <c r="J50" s="3"/>
    </row>
    <row r="51" spans="1:10" x14ac:dyDescent="0.3">
      <c r="A51" s="26" t="s">
        <v>74</v>
      </c>
      <c r="B51" s="25">
        <v>15596.696600000001</v>
      </c>
      <c r="J51" s="3"/>
    </row>
    <row r="52" spans="1:10" x14ac:dyDescent="0.3">
      <c r="A52" s="26" t="s">
        <v>159</v>
      </c>
      <c r="B52" s="25">
        <v>21880.027399999992</v>
      </c>
      <c r="J52" s="3"/>
    </row>
    <row r="53" spans="1:10" x14ac:dyDescent="0.3">
      <c r="A53" s="26" t="s">
        <v>64</v>
      </c>
      <c r="B53" s="25">
        <v>22451.891599999999</v>
      </c>
      <c r="J53" s="3"/>
    </row>
    <row r="54" spans="1:10" x14ac:dyDescent="0.3">
      <c r="A54" s="26" t="s">
        <v>61</v>
      </c>
      <c r="B54" s="25">
        <v>29334.680599999996</v>
      </c>
      <c r="J54" s="3"/>
    </row>
    <row r="55" spans="1:10" x14ac:dyDescent="0.3">
      <c r="A55" s="26" t="s">
        <v>57</v>
      </c>
      <c r="B55" s="25">
        <v>35379.119800000015</v>
      </c>
      <c r="J55" s="3"/>
    </row>
    <row r="56" spans="1:10" x14ac:dyDescent="0.3">
      <c r="A56" s="26" t="s">
        <v>32</v>
      </c>
      <c r="B56" s="25">
        <v>58514.166999999987</v>
      </c>
      <c r="J56" s="3"/>
    </row>
    <row r="57" spans="1:10" x14ac:dyDescent="0.3">
      <c r="A57" s="26" t="s">
        <v>54</v>
      </c>
      <c r="B57" s="25">
        <v>59449.863799999992</v>
      </c>
      <c r="J57" s="3"/>
    </row>
    <row r="58" spans="1:10" x14ac:dyDescent="0.3">
      <c r="A58" s="26" t="s">
        <v>19</v>
      </c>
      <c r="B58" s="25">
        <v>68025.838800000012</v>
      </c>
      <c r="J58" s="3"/>
    </row>
    <row r="59" spans="1:10" x14ac:dyDescent="0.3">
      <c r="A59" s="26" t="s">
        <v>95</v>
      </c>
      <c r="B59" s="25">
        <v>81894.736400000009</v>
      </c>
      <c r="J59" s="3"/>
    </row>
    <row r="60" spans="1:10" x14ac:dyDescent="0.3">
      <c r="A60" s="26" t="s">
        <v>28</v>
      </c>
      <c r="B60" s="25">
        <v>90706.728999999992</v>
      </c>
      <c r="J60" s="3"/>
    </row>
    <row r="61" spans="1:10" x14ac:dyDescent="0.3">
      <c r="A61" s="26" t="s">
        <v>67</v>
      </c>
      <c r="B61" s="25">
        <v>101276.46159999995</v>
      </c>
      <c r="J61" s="3"/>
    </row>
    <row r="62" spans="1:10" x14ac:dyDescent="0.3">
      <c r="A62" s="26" t="s">
        <v>24</v>
      </c>
      <c r="B62" s="25">
        <v>118558.88140000009</v>
      </c>
      <c r="J62" s="3"/>
    </row>
    <row r="63" spans="1:10" x14ac:dyDescent="0.3">
      <c r="A63" s="26" t="s">
        <v>42</v>
      </c>
      <c r="B63" s="25">
        <v>135976.52539999998</v>
      </c>
      <c r="J63" s="3"/>
    </row>
    <row r="64" spans="1:10" x14ac:dyDescent="0.3">
      <c r="A64" s="26" t="s">
        <v>48</v>
      </c>
      <c r="B64" s="25">
        <v>175433.92240000021</v>
      </c>
      <c r="J64" s="3"/>
    </row>
    <row r="65" spans="1:10" ht="16.2" thickBot="1" x14ac:dyDescent="0.35">
      <c r="A65" s="13" t="s">
        <v>12</v>
      </c>
      <c r="B65" s="18">
        <v>178124.08099999995</v>
      </c>
      <c r="J65" s="3"/>
    </row>
    <row r="66" spans="1:10" x14ac:dyDescent="0.3">
      <c r="A66" s="2"/>
      <c r="J66" s="3"/>
    </row>
    <row r="67" spans="1:10" ht="16.2" thickBot="1" x14ac:dyDescent="0.35">
      <c r="A67" s="9"/>
      <c r="B67" s="4"/>
      <c r="C67" s="4"/>
      <c r="D67" s="4"/>
      <c r="E67" s="4"/>
      <c r="F67" s="4"/>
      <c r="G67" s="4"/>
      <c r="H67" s="4"/>
      <c r="I67" s="4"/>
      <c r="J67" s="10"/>
    </row>
    <row r="70" spans="1:10" ht="16.2" thickBot="1" x14ac:dyDescent="0.35"/>
    <row r="71" spans="1:10" ht="16.2" thickBot="1" x14ac:dyDescent="0.35">
      <c r="A71" s="33" t="s">
        <v>1625</v>
      </c>
      <c r="B71" s="34"/>
      <c r="C71" s="34"/>
      <c r="D71" s="34"/>
      <c r="E71" s="34"/>
      <c r="F71" s="35"/>
    </row>
    <row r="72" spans="1:10" ht="16.2" thickBot="1" x14ac:dyDescent="0.35">
      <c r="A72" s="11" t="s">
        <v>1620</v>
      </c>
      <c r="B72" s="14" t="s">
        <v>1610</v>
      </c>
      <c r="F72" s="3"/>
    </row>
    <row r="73" spans="1:10" x14ac:dyDescent="0.3">
      <c r="A73" s="12">
        <v>2011</v>
      </c>
      <c r="B73" s="17">
        <v>78131.566599999976</v>
      </c>
      <c r="F73" s="3"/>
    </row>
    <row r="74" spans="1:10" x14ac:dyDescent="0.3">
      <c r="A74" s="26">
        <v>2012</v>
      </c>
      <c r="B74" s="25">
        <v>130476.85979999998</v>
      </c>
      <c r="F74" s="3"/>
    </row>
    <row r="75" spans="1:10" x14ac:dyDescent="0.3">
      <c r="A75" s="26">
        <v>2014</v>
      </c>
      <c r="B75" s="25">
        <v>131809.01560000007</v>
      </c>
      <c r="F75" s="3"/>
    </row>
    <row r="76" spans="1:10" x14ac:dyDescent="0.3">
      <c r="A76" s="26">
        <v>2015</v>
      </c>
      <c r="B76" s="25">
        <v>130942.78019999999</v>
      </c>
      <c r="F76" s="3"/>
    </row>
    <row r="77" spans="1:10" x14ac:dyDescent="0.3">
      <c r="A77" s="26">
        <v>2016</v>
      </c>
      <c r="B77" s="25">
        <v>132113.36980000007</v>
      </c>
      <c r="F77" s="3"/>
    </row>
    <row r="78" spans="1:10" x14ac:dyDescent="0.3">
      <c r="A78" s="26">
        <v>2017</v>
      </c>
      <c r="B78" s="25">
        <v>133103.90699999989</v>
      </c>
      <c r="F78" s="3"/>
    </row>
    <row r="79" spans="1:10" x14ac:dyDescent="0.3">
      <c r="A79" s="26">
        <v>2018</v>
      </c>
      <c r="B79" s="25">
        <v>204522.25700000025</v>
      </c>
      <c r="F79" s="3"/>
    </row>
    <row r="80" spans="1:10" x14ac:dyDescent="0.3">
      <c r="A80" s="26">
        <v>2020</v>
      </c>
      <c r="B80" s="25">
        <v>129103.96039999987</v>
      </c>
      <c r="F80" s="3"/>
    </row>
    <row r="81" spans="1:6" ht="16.2" thickBot="1" x14ac:dyDescent="0.35">
      <c r="A81" s="13">
        <v>2022</v>
      </c>
      <c r="B81" s="18">
        <v>131477.77639999994</v>
      </c>
      <c r="F81" s="3"/>
    </row>
    <row r="82" spans="1:6" x14ac:dyDescent="0.3">
      <c r="A82" s="2"/>
      <c r="F82" s="3"/>
    </row>
    <row r="83" spans="1:6" x14ac:dyDescent="0.3">
      <c r="A83" s="2"/>
      <c r="F83" s="3"/>
    </row>
    <row r="84" spans="1:6" x14ac:dyDescent="0.3">
      <c r="A84" s="2"/>
      <c r="F84" s="3"/>
    </row>
    <row r="85" spans="1:6" x14ac:dyDescent="0.3">
      <c r="A85" s="2"/>
      <c r="F85" s="3"/>
    </row>
    <row r="86" spans="1:6" x14ac:dyDescent="0.3">
      <c r="A86" s="2"/>
      <c r="F86" s="3"/>
    </row>
    <row r="87" spans="1:6" ht="16.2" thickBot="1" x14ac:dyDescent="0.35">
      <c r="A87" s="9"/>
      <c r="B87" s="4"/>
      <c r="C87" s="4"/>
      <c r="D87" s="4"/>
      <c r="E87" s="4"/>
      <c r="F87" s="10"/>
    </row>
    <row r="89" spans="1:6" ht="16.2" thickBot="1" x14ac:dyDescent="0.35"/>
    <row r="90" spans="1:6" ht="16.2" thickBot="1" x14ac:dyDescent="0.35">
      <c r="A90" s="33" t="s">
        <v>1626</v>
      </c>
      <c r="B90" s="34"/>
      <c r="C90" s="34"/>
      <c r="D90" s="34"/>
      <c r="E90" s="35"/>
    </row>
    <row r="91" spans="1:6" ht="16.2" thickBot="1" x14ac:dyDescent="0.35">
      <c r="A91" s="11" t="s">
        <v>1620</v>
      </c>
      <c r="B91" s="14" t="s">
        <v>1610</v>
      </c>
      <c r="E91" s="3"/>
    </row>
    <row r="92" spans="1:6" x14ac:dyDescent="0.3">
      <c r="A92" s="12" t="s">
        <v>30</v>
      </c>
      <c r="B92" s="17">
        <v>248991.58600000024</v>
      </c>
      <c r="E92" s="3"/>
    </row>
    <row r="93" spans="1:6" x14ac:dyDescent="0.3">
      <c r="A93" s="26" t="s">
        <v>15</v>
      </c>
      <c r="B93" s="25">
        <v>507895.7363999993</v>
      </c>
      <c r="E93" s="3"/>
    </row>
    <row r="94" spans="1:6" ht="16.2" thickBot="1" x14ac:dyDescent="0.35">
      <c r="A94" s="13" t="s">
        <v>26</v>
      </c>
      <c r="B94" s="18">
        <v>444794.17039999936</v>
      </c>
      <c r="E94" s="3"/>
    </row>
    <row r="95" spans="1:6" x14ac:dyDescent="0.3">
      <c r="A95" s="2"/>
      <c r="E95" s="3"/>
    </row>
    <row r="96" spans="1:6" x14ac:dyDescent="0.3">
      <c r="A96" s="2"/>
      <c r="E96" s="3"/>
    </row>
    <row r="97" spans="1:5" x14ac:dyDescent="0.3">
      <c r="A97" s="2"/>
      <c r="E97" s="3"/>
    </row>
    <row r="98" spans="1:5" x14ac:dyDescent="0.3">
      <c r="A98" s="2"/>
      <c r="E98" s="3"/>
    </row>
    <row r="99" spans="1:5" x14ac:dyDescent="0.3">
      <c r="A99" s="2"/>
      <c r="E99" s="3"/>
    </row>
    <row r="100" spans="1:5" x14ac:dyDescent="0.3">
      <c r="A100" s="2"/>
      <c r="E100" s="3"/>
    </row>
    <row r="101" spans="1:5" x14ac:dyDescent="0.3">
      <c r="A101" s="2"/>
      <c r="E101" s="3"/>
    </row>
    <row r="102" spans="1:5" x14ac:dyDescent="0.3">
      <c r="A102" s="2"/>
      <c r="E102" s="3"/>
    </row>
    <row r="103" spans="1:5" ht="16.2" thickBot="1" x14ac:dyDescent="0.35">
      <c r="A103" s="9"/>
      <c r="B103" s="4"/>
      <c r="C103" s="4"/>
      <c r="D103" s="4"/>
      <c r="E103" s="10"/>
    </row>
    <row r="106" spans="1:5" ht="16.2" thickBot="1" x14ac:dyDescent="0.35"/>
    <row r="107" spans="1:5" ht="16.2" thickBot="1" x14ac:dyDescent="0.35">
      <c r="A107" s="33" t="s">
        <v>1629</v>
      </c>
      <c r="B107" s="34"/>
      <c r="C107" s="34"/>
      <c r="D107" s="34"/>
      <c r="E107" s="35"/>
    </row>
    <row r="108" spans="1:5" ht="16.2" thickBot="1" x14ac:dyDescent="0.35">
      <c r="A108" s="11" t="s">
        <v>1620</v>
      </c>
      <c r="B108" s="14" t="s">
        <v>1610</v>
      </c>
      <c r="D108" t="s">
        <v>1627</v>
      </c>
      <c r="E108" s="3" t="s">
        <v>1628</v>
      </c>
    </row>
    <row r="109" spans="1:5" x14ac:dyDescent="0.3">
      <c r="A109" s="12" t="s">
        <v>21</v>
      </c>
      <c r="B109" s="17">
        <v>472133.03319999954</v>
      </c>
      <c r="D109" t="str">
        <f>A109</f>
        <v>Tier 3</v>
      </c>
      <c r="E109" s="23">
        <f>GETPIVOTDATA("Sales",$A$108,"Outlet Location Type",A109)</f>
        <v>472133.03319999954</v>
      </c>
    </row>
    <row r="110" spans="1:5" x14ac:dyDescent="0.3">
      <c r="A110" s="26" t="s">
        <v>34</v>
      </c>
      <c r="B110" s="25">
        <v>393150.64759999956</v>
      </c>
      <c r="D110" t="str">
        <f>A110</f>
        <v>Tier 2</v>
      </c>
      <c r="E110" s="23">
        <f>GETPIVOTDATA("Sales",$A$108,"Outlet Location Type",A110)</f>
        <v>393150.64759999956</v>
      </c>
    </row>
    <row r="111" spans="1:5" ht="16.2" thickBot="1" x14ac:dyDescent="0.35">
      <c r="A111" s="13" t="s">
        <v>14</v>
      </c>
      <c r="B111" s="18">
        <v>336397.81199999945</v>
      </c>
      <c r="D111" t="str">
        <f>A111</f>
        <v>Tier 1</v>
      </c>
      <c r="E111" s="23">
        <f>GETPIVOTDATA("Sales",$A$108,"Outlet Location Type",A111)</f>
        <v>336397.81199999945</v>
      </c>
    </row>
    <row r="112" spans="1:5" x14ac:dyDescent="0.3">
      <c r="A112" s="2"/>
      <c r="E112" s="3"/>
    </row>
    <row r="113" spans="1:6" x14ac:dyDescent="0.3">
      <c r="A113" s="2"/>
      <c r="E113" s="3"/>
    </row>
    <row r="114" spans="1:6" x14ac:dyDescent="0.3">
      <c r="A114" s="2"/>
      <c r="E114" s="3"/>
    </row>
    <row r="115" spans="1:6" x14ac:dyDescent="0.3">
      <c r="A115" s="2"/>
      <c r="E115" s="3"/>
    </row>
    <row r="116" spans="1:6" x14ac:dyDescent="0.3">
      <c r="A116" s="2"/>
      <c r="E116" s="3"/>
    </row>
    <row r="117" spans="1:6" x14ac:dyDescent="0.3">
      <c r="A117" s="2"/>
      <c r="E117" s="3"/>
    </row>
    <row r="118" spans="1:6" x14ac:dyDescent="0.3">
      <c r="A118" s="2"/>
      <c r="E118" s="3"/>
    </row>
    <row r="119" spans="1:6" x14ac:dyDescent="0.3">
      <c r="A119" s="2"/>
      <c r="E119" s="3"/>
    </row>
    <row r="120" spans="1:6" x14ac:dyDescent="0.3">
      <c r="A120" s="2"/>
      <c r="E120" s="3"/>
    </row>
    <row r="121" spans="1:6" x14ac:dyDescent="0.3">
      <c r="A121" s="2"/>
      <c r="E121" s="3"/>
    </row>
    <row r="122" spans="1:6" ht="16.2" thickBot="1" x14ac:dyDescent="0.35">
      <c r="A122" s="9"/>
      <c r="B122" s="4"/>
      <c r="C122" s="4"/>
      <c r="D122" s="4"/>
      <c r="E122" s="10"/>
    </row>
    <row r="123" spans="1:6" ht="16.2" thickBot="1" x14ac:dyDescent="0.35"/>
    <row r="124" spans="1:6" ht="16.2" thickBot="1" x14ac:dyDescent="0.35">
      <c r="A124" s="27"/>
      <c r="B124" s="31"/>
      <c r="C124" s="31"/>
      <c r="D124" s="31"/>
      <c r="E124" s="31"/>
      <c r="F124" s="1"/>
    </row>
    <row r="125" spans="1:6" x14ac:dyDescent="0.3">
      <c r="A125" s="33" t="s">
        <v>1631</v>
      </c>
      <c r="B125" s="34"/>
      <c r="C125" s="34"/>
      <c r="D125" s="34"/>
      <c r="E125" s="34"/>
      <c r="F125" s="35"/>
    </row>
    <row r="126" spans="1:6" ht="16.2" thickBot="1" x14ac:dyDescent="0.35">
      <c r="A126" s="2"/>
      <c r="B126" t="s">
        <v>1630</v>
      </c>
      <c r="F126" s="3"/>
    </row>
    <row r="127" spans="1:6" ht="16.2" thickBot="1" x14ac:dyDescent="0.35">
      <c r="A127" s="11" t="s">
        <v>1620</v>
      </c>
      <c r="B127" s="14" t="s">
        <v>1610</v>
      </c>
      <c r="F127" s="3"/>
    </row>
    <row r="128" spans="1:6" x14ac:dyDescent="0.3">
      <c r="A128" s="12" t="s">
        <v>40</v>
      </c>
      <c r="B128" s="17">
        <v>151939.149</v>
      </c>
      <c r="F128" s="3"/>
    </row>
    <row r="129" spans="1:6" x14ac:dyDescent="0.3">
      <c r="A129" s="26" t="s">
        <v>16</v>
      </c>
      <c r="B129" s="25">
        <v>787549.89280000131</v>
      </c>
      <c r="F129" s="3"/>
    </row>
    <row r="130" spans="1:6" x14ac:dyDescent="0.3">
      <c r="A130" s="26" t="s">
        <v>22</v>
      </c>
      <c r="B130" s="25">
        <v>131477.77639999994</v>
      </c>
      <c r="F130" s="3"/>
    </row>
    <row r="131" spans="1:6" ht="16.2" thickBot="1" x14ac:dyDescent="0.35">
      <c r="A131" s="13" t="s">
        <v>46</v>
      </c>
      <c r="B131" s="18">
        <v>130714.67460000006</v>
      </c>
      <c r="F131" s="3"/>
    </row>
    <row r="132" spans="1:6" x14ac:dyDescent="0.3">
      <c r="A132" s="2"/>
      <c r="F132" s="3"/>
    </row>
    <row r="133" spans="1:6" x14ac:dyDescent="0.3">
      <c r="A133" s="2"/>
      <c r="F133" s="3"/>
    </row>
    <row r="134" spans="1:6" x14ac:dyDescent="0.3">
      <c r="A134" s="2"/>
      <c r="F134" s="3"/>
    </row>
    <row r="135" spans="1:6" x14ac:dyDescent="0.3">
      <c r="A135" s="2"/>
      <c r="F135" s="3"/>
    </row>
    <row r="136" spans="1:6" x14ac:dyDescent="0.3">
      <c r="A136" s="2"/>
      <c r="F136" s="3"/>
    </row>
    <row r="137" spans="1:6" x14ac:dyDescent="0.3">
      <c r="A137" s="2"/>
      <c r="F137" s="3"/>
    </row>
    <row r="138" spans="1:6" x14ac:dyDescent="0.3">
      <c r="A138" s="2"/>
      <c r="F138" s="3"/>
    </row>
    <row r="139" spans="1:6" x14ac:dyDescent="0.3">
      <c r="A139" s="2"/>
      <c r="F139" s="3"/>
    </row>
    <row r="140" spans="1:6" x14ac:dyDescent="0.3">
      <c r="A140" s="2"/>
      <c r="F140" s="3"/>
    </row>
    <row r="141" spans="1:6" x14ac:dyDescent="0.3">
      <c r="A141" s="2"/>
      <c r="F141" s="3"/>
    </row>
    <row r="142" spans="1:6" x14ac:dyDescent="0.3">
      <c r="A142" s="2"/>
      <c r="F142" s="3"/>
    </row>
    <row r="143" spans="1:6" ht="16.2" thickBot="1" x14ac:dyDescent="0.35">
      <c r="A143" s="9"/>
      <c r="B143" s="4"/>
      <c r="C143" s="4"/>
      <c r="D143" s="4"/>
      <c r="E143" s="4"/>
      <c r="F143" s="10"/>
    </row>
    <row r="144" spans="1:6" x14ac:dyDescent="0.3">
      <c r="A144" s="2"/>
      <c r="F144" s="3"/>
    </row>
    <row r="145" spans="1:6" x14ac:dyDescent="0.3">
      <c r="A145" s="2"/>
      <c r="F145" s="3"/>
    </row>
    <row r="146" spans="1:6" ht="16.2" thickBot="1" x14ac:dyDescent="0.35">
      <c r="A146" s="2"/>
      <c r="F146" s="3"/>
    </row>
    <row r="147" spans="1:6" ht="16.2" thickBot="1" x14ac:dyDescent="0.35">
      <c r="A147" s="33" t="s">
        <v>1632</v>
      </c>
      <c r="B147" s="34"/>
      <c r="C147" s="34"/>
      <c r="D147" s="34"/>
      <c r="E147" s="34"/>
      <c r="F147" s="35"/>
    </row>
    <row r="148" spans="1:6" ht="16.2" thickBot="1" x14ac:dyDescent="0.35">
      <c r="A148" s="11" t="s">
        <v>1620</v>
      </c>
      <c r="B148" s="14" t="s">
        <v>1611</v>
      </c>
      <c r="F148" s="3"/>
    </row>
    <row r="149" spans="1:6" x14ac:dyDescent="0.3">
      <c r="A149" s="12" t="s">
        <v>40</v>
      </c>
      <c r="B149" s="28">
        <v>140.29468975069253</v>
      </c>
      <c r="F149" s="3"/>
    </row>
    <row r="150" spans="1:6" x14ac:dyDescent="0.3">
      <c r="A150" s="26" t="s">
        <v>16</v>
      </c>
      <c r="B150" s="29">
        <v>141.21389506903375</v>
      </c>
      <c r="F150" s="3"/>
    </row>
    <row r="151" spans="1:6" x14ac:dyDescent="0.3">
      <c r="A151" s="26" t="s">
        <v>22</v>
      </c>
      <c r="B151" s="29">
        <v>141.67863836206891</v>
      </c>
      <c r="F151" s="3"/>
    </row>
    <row r="152" spans="1:6" ht="16.2" thickBot="1" x14ac:dyDescent="0.35">
      <c r="A152" s="13" t="s">
        <v>46</v>
      </c>
      <c r="B152" s="30">
        <v>139.80179101604284</v>
      </c>
      <c r="F152" s="3"/>
    </row>
    <row r="153" spans="1:6" x14ac:dyDescent="0.3">
      <c r="A153" s="2"/>
      <c r="F153" s="3"/>
    </row>
    <row r="154" spans="1:6" x14ac:dyDescent="0.3">
      <c r="A154" s="2"/>
      <c r="F154" s="3"/>
    </row>
    <row r="155" spans="1:6" x14ac:dyDescent="0.3">
      <c r="A155" s="2"/>
      <c r="F155" s="3"/>
    </row>
    <row r="156" spans="1:6" x14ac:dyDescent="0.3">
      <c r="A156" s="2"/>
      <c r="F156" s="3"/>
    </row>
    <row r="157" spans="1:6" x14ac:dyDescent="0.3">
      <c r="A157" s="2"/>
      <c r="F157" s="3"/>
    </row>
    <row r="158" spans="1:6" x14ac:dyDescent="0.3">
      <c r="A158" s="2"/>
      <c r="F158" s="3"/>
    </row>
    <row r="159" spans="1:6" x14ac:dyDescent="0.3">
      <c r="A159" s="2"/>
      <c r="F159" s="3"/>
    </row>
    <row r="160" spans="1:6" x14ac:dyDescent="0.3">
      <c r="A160" s="2"/>
      <c r="F160" s="3"/>
    </row>
    <row r="161" spans="1:6" x14ac:dyDescent="0.3">
      <c r="A161" s="2"/>
      <c r="F161" s="3"/>
    </row>
    <row r="162" spans="1:6" x14ac:dyDescent="0.3">
      <c r="A162" s="2"/>
      <c r="F162" s="3"/>
    </row>
    <row r="163" spans="1:6" ht="16.2" thickBot="1" x14ac:dyDescent="0.35">
      <c r="A163" s="9"/>
      <c r="B163" s="4"/>
      <c r="C163" s="4"/>
      <c r="D163" s="4"/>
      <c r="E163" s="4"/>
      <c r="F163" s="10"/>
    </row>
    <row r="164" spans="1:6" x14ac:dyDescent="0.3">
      <c r="A164" s="2"/>
      <c r="F164" s="3"/>
    </row>
    <row r="165" spans="1:6" x14ac:dyDescent="0.3">
      <c r="A165" s="2"/>
      <c r="F165" s="3"/>
    </row>
    <row r="166" spans="1:6" ht="16.2" thickBot="1" x14ac:dyDescent="0.35">
      <c r="A166" s="9"/>
      <c r="B166" s="4"/>
      <c r="C166" s="4"/>
      <c r="D166" s="4"/>
      <c r="E166" s="4"/>
      <c r="F166" s="10"/>
    </row>
  </sheetData>
  <mergeCells count="9">
    <mergeCell ref="A90:E90"/>
    <mergeCell ref="A107:E107"/>
    <mergeCell ref="A125:F125"/>
    <mergeCell ref="A147:F147"/>
    <mergeCell ref="A2:D2"/>
    <mergeCell ref="A16:E16"/>
    <mergeCell ref="A48:J48"/>
    <mergeCell ref="A28:J28"/>
    <mergeCell ref="A71:F7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AE8EE-03B9-4D42-A0C8-DD9AF340EE5B}">
  <dimension ref="Z18:AA18"/>
  <sheetViews>
    <sheetView showGridLines="0" tabSelected="1" zoomScale="70" zoomScaleNormal="65" workbookViewId="0">
      <selection activeCell="Z33" sqref="Z33"/>
    </sheetView>
  </sheetViews>
  <sheetFormatPr defaultRowHeight="15.6" x14ac:dyDescent="0.3"/>
  <sheetData>
    <row r="18" spans="26:27" ht="19.2" x14ac:dyDescent="0.45">
      <c r="Z18" s="32"/>
      <c r="AA18" s="3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3" zoomScaleNormal="100"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Jitendra Tiwari</cp:lastModifiedBy>
  <dcterms:created xsi:type="dcterms:W3CDTF">2024-06-23T13:11:17Z</dcterms:created>
  <dcterms:modified xsi:type="dcterms:W3CDTF">2025-11-24T07:27:33Z</dcterms:modified>
</cp:coreProperties>
</file>